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EstaPastaDeTrabalho" autoCompressPictures="0" defaultThemeVersion="124226"/>
  <mc:AlternateContent xmlns:mc="http://schemas.openxmlformats.org/markup-compatibility/2006">
    <mc:Choice Requires="x15">
      <x15ac:absPath xmlns:x15ac="http://schemas.microsoft.com/office/spreadsheetml/2010/11/ac" url="C:\Users\MichelZabalia\one-page-report\"/>
    </mc:Choice>
  </mc:AlternateContent>
  <xr:revisionPtr revIDLastSave="0" documentId="8_{639666AD-FBCB-4E07-BF33-B29DD5115D4F}" xr6:coauthVersionLast="47" xr6:coauthVersionMax="47" xr10:uidLastSave="{00000000-0000-0000-0000-000000000000}"/>
  <bookViews>
    <workbookView xWindow="-108" yWindow="-108" windowWidth="23256" windowHeight="12456" tabRatio="626" firstSheet="1" activeTab="1" xr2:uid="{00000000-000D-0000-FFFF-FFFF00000000}"/>
  </bookViews>
  <sheets>
    <sheet name="Calendário" sheetId="33" state="hidden" r:id="rId1"/>
    <sheet name="Programação Semanal" sheetId="57" r:id="rId2"/>
    <sheet name="Cód. Áreas" sheetId="34" state="hidden" r:id="rId3"/>
  </sheets>
  <externalReferences>
    <externalReference r:id="rId4"/>
    <externalReference r:id="rId5"/>
    <externalReference r:id="rId6"/>
    <externalReference r:id="rId7"/>
    <externalReference r:id="rId8"/>
    <externalReference r:id="rId9"/>
    <externalReference r:id="rId10"/>
    <externalReference r:id="rId11"/>
  </externalReferences>
  <definedNames>
    <definedName name="__123Graph_A" hidden="1">[1]FC!$J$109:$U$109</definedName>
    <definedName name="__123Graph_X" hidden="1">[1]FC!$J$5:$U$5</definedName>
    <definedName name="_1__123Graph_ACHART_1" hidden="1">[2]DADOS!$K$13:$K$26</definedName>
    <definedName name="_10__123Graph_ACHART_18" hidden="1">'[2]Produt JUL'!$B$12:$B$13</definedName>
    <definedName name="_100__123Graph_FCHART_17" hidden="1">'[2]Produt JUN'!$D$12:$D$44</definedName>
    <definedName name="_101__123Graph_FCHART_18" hidden="1">'[2]Produt JUL'!$D$12:$D$44</definedName>
    <definedName name="_102__123Graph_FCHART_19" hidden="1">'[2]Produt AGO'!$D$12:$D$44</definedName>
    <definedName name="_103__123Graph_FCHART_20" hidden="1">'[2]Produt SET'!$D$12:$D$44</definedName>
    <definedName name="_104__123Graph_FCHART_21" hidden="1">'[2]Produt OUT'!$D$12:$D$44</definedName>
    <definedName name="_105__123Graph_FCHART_22" hidden="1">'[2]Produt NOV'!$D$12:$D$44</definedName>
    <definedName name="_106__123Graph_FCHART_23" hidden="1">'[2]Produt DEZ'!$D$12:$D$44</definedName>
    <definedName name="_107__123Graph_FCHART_9" hidden="1">[2]DADOS!$E$13:$E$26</definedName>
    <definedName name="_108__123Graph_LBL_ACHART_2" hidden="1">[3]PARETOS!$M$4:$M$10</definedName>
    <definedName name="_109__123Graph_LBL_ACHART_3" hidden="1">[3]PARETOS!$N$29:$N$36</definedName>
    <definedName name="_11__123Graph_ACHART_19" hidden="1">'[2]Produt AGO'!$B$12:$B$13</definedName>
    <definedName name="_110__123Graph_LBL_ACHART_7" hidden="1">'[3]PROP ELAB GANH'!$P$47:$P$55</definedName>
    <definedName name="_111__123Graph_LBL_ACHART_8" hidden="1">'[3]PROP ELAB GANH'!$P$70:$P$78</definedName>
    <definedName name="_112__123Graph_LBL_ACHART_9" hidden="1">[2]DADOS!$T$13:$T$14</definedName>
    <definedName name="_113__123Graph_LBL_BCHART_10" hidden="1">'[2]Produt JAN'!$AJ$12:$AJ$44</definedName>
    <definedName name="_114__123Graph_LBL_BCHART_13" hidden="1">'[2]Produt FEV'!$AJ$12:$AJ$44</definedName>
    <definedName name="_115__123Graph_LBL_BCHART_14" hidden="1">'[2]Produt MAR'!$AJ$12:$AJ$44</definedName>
    <definedName name="_116__123Graph_LBL_BCHART_15" hidden="1">'[2]Produt ABR'!$AJ$12:$AJ$44</definedName>
    <definedName name="_117__123Graph_LBL_BCHART_16" hidden="1">'[2]Produt MAI'!$AJ$12:$AJ$44</definedName>
    <definedName name="_118__123Graph_LBL_BCHART_17" hidden="1">'[2]Produt JUN'!$AJ$12:$AJ$44</definedName>
    <definedName name="_119__123Graph_LBL_BCHART_18" hidden="1">'[2]Produt JUL'!$AJ$12:$AJ$44</definedName>
    <definedName name="_12__123Graph_ACHART_2" hidden="1">[2]DADOS!$J$28:$L$28</definedName>
    <definedName name="_120__123Graph_LBL_BCHART_19" hidden="1">'[2]Produt AGO'!$AJ$12:$AJ$44</definedName>
    <definedName name="_121__123Graph_LBL_BCHART_2" hidden="1">[3]PARETOS!$N$4:$N$10</definedName>
    <definedName name="_122__123Graph_LBL_BCHART_20" hidden="1">'[2]Produt SET'!$AJ$12:$AJ$44</definedName>
    <definedName name="_123__123Graph_LBL_BCHART_21" hidden="1">'[2]Produt OUT'!$AJ$12:$AJ$44</definedName>
    <definedName name="_124__123Graph_LBL_BCHART_22" hidden="1">'[2]Produt NOV'!$AJ$12:$AJ$44</definedName>
    <definedName name="_125__123Graph_LBL_BCHART_23" hidden="1">'[2]Produt DEZ'!$AJ$12:$AJ$44</definedName>
    <definedName name="_126__123Graph_LBL_BCHART_3" hidden="1">[3]PARETOS!$O$28:$O$35</definedName>
    <definedName name="_127__123Graph_LBL_DCHART_10" hidden="1">'[2]Produt JAN'!$AK$12:$AK$44</definedName>
    <definedName name="_128__123Graph_LBL_DCHART_13" hidden="1">'[2]Produt FEV'!$AK$12:$AK$44</definedName>
    <definedName name="_129__123Graph_LBL_DCHART_14" hidden="1">'[2]Produt MAR'!$AK$12:$AK$44</definedName>
    <definedName name="_13__123Graph_ACHART_20" hidden="1">'[2]Produt SET'!$B$12:$B$13</definedName>
    <definedName name="_130__123Graph_LBL_DCHART_15" hidden="1">'[2]Produt ABR'!$AK$12:$AK$44</definedName>
    <definedName name="_131__123Graph_LBL_DCHART_16" hidden="1">'[2]Produt MAI'!$AK$12:$AK$44</definedName>
    <definedName name="_132__123Graph_LBL_DCHART_17" hidden="1">'[2]Produt JUN'!$AK$12:$AK$44</definedName>
    <definedName name="_133__123Graph_LBL_DCHART_18" hidden="1">'[2]Produt JUL'!$AK$12:$AK$44</definedName>
    <definedName name="_134__123Graph_LBL_DCHART_19" hidden="1">'[2]Produt AGO'!$AK$12:$AK$44</definedName>
    <definedName name="_135__123Graph_LBL_DCHART_20" hidden="1">'[2]Produt SET'!$AK$12:$AK$44</definedName>
    <definedName name="_136__123Graph_LBL_DCHART_21" hidden="1">'[2]Produt OUT'!$AK$12:$AK$44</definedName>
    <definedName name="_137__123Graph_LBL_DCHART_22" hidden="1">'[2]Produt NOV'!$AK$12:$AK$44</definedName>
    <definedName name="_138__123Graph_LBL_DCHART_23" hidden="1">'[2]Produt DEZ'!$AK$12:$AK$44</definedName>
    <definedName name="_139__123Graph_XCHART_1" hidden="1">[2]DADOS!$A$13:$A$26</definedName>
    <definedName name="_14__123Graph_ACHART_21" hidden="1">'[2]Produt OUT'!$B$12:$B$13</definedName>
    <definedName name="_140__123Graph_XCHART_3" hidden="1">[3]PARETOS!$M$29:$M$36</definedName>
    <definedName name="_141__123Graph_XCHART_6" hidden="1">[2]DADOS!$A$15:$A$26</definedName>
    <definedName name="_142__123Graph_XCHART_8" hidden="1">'[3]PROP ELAB GANH'!$L$70:$L$78</definedName>
    <definedName name="_143__123Graph_XCHART_9" hidden="1">[2]DADOS!$A$13:$A$26</definedName>
    <definedName name="_15__123Graph_ACHART_22" hidden="1">'[2]Produt NOV'!$B$12:$B$13</definedName>
    <definedName name="_16__123Graph_ACHART_23" hidden="1">'[2]Produt DEZ'!$B$12:$B$13</definedName>
    <definedName name="_17__123Graph_ACHART_25" hidden="1">'[2]Produt FEV'!$J$48:$L$48</definedName>
    <definedName name="_18__123Graph_ACHART_27" hidden="1">'[2]Produt MAR'!$J$48:$L$48</definedName>
    <definedName name="_19__123Graph_ACHART_29" hidden="1">'[2]Produt ABR'!$J$48:$L$48</definedName>
    <definedName name="_2__123Graph_ACHART_10" hidden="1">'[2]Produt JAN'!$B$12:$B$13</definedName>
    <definedName name="_20__123Graph_ACHART_3" hidden="1">[2]DADOS!$J$30:$L$30</definedName>
    <definedName name="_21__123Graph_ACHART_31" hidden="1">'[2]Produt MAI'!$J$48:$L$48</definedName>
    <definedName name="_22__123Graph_ACHART_33" hidden="1">'[2]Produt JUN'!$J$48:$L$48</definedName>
    <definedName name="_23__123Graph_ACHART_35" hidden="1">'[2]Produt JUL'!$J$48:$L$48</definedName>
    <definedName name="_24__123Graph_ACHART_37" hidden="1">'[2]Produt AGO'!$J$48:$L$48</definedName>
    <definedName name="_25__123Graph_ACHART_39" hidden="1">'[2]Produt SET'!$J$48:$L$48</definedName>
    <definedName name="_26__123Graph_ACHART_4" hidden="1">[2]DADOS!$O$28:$Q$28</definedName>
    <definedName name="_27__123Graph_ACHART_41" hidden="1">'[2]Produt OUT'!$J$48:$L$48</definedName>
    <definedName name="_28__123Graph_ACHART_43" hidden="1">'[2]Produt NOV'!$J$48:$L$48</definedName>
    <definedName name="_29__123Graph_ACHART_45" hidden="1">'[2]Produt DEZ'!$J$48:$L$48</definedName>
    <definedName name="_3__123Graph_ACHART_11" hidden="1">'[2]Produt JAN'!$J$46:$L$46</definedName>
    <definedName name="_30__123Graph_ACHART_5" hidden="1">[2]DADOS!$O$30:$Q$30</definedName>
    <definedName name="_31__123Graph_ACHART_6" hidden="1">[2]DADOS!$G$15:$G$26</definedName>
    <definedName name="_32__123Graph_ACHART_7" hidden="1">[2]DADOS!$S$28:$U$28</definedName>
    <definedName name="_33__123Graph_ACHART_8" hidden="1">[2]DADOS!$S$30:$U$30</definedName>
    <definedName name="_34__123Graph_ACHART_9" hidden="1">[2]DADOS!$T$13:$T$26</definedName>
    <definedName name="_35__123Graph_BCHART_1" hidden="1">[2]DADOS!$J$13:$J$26</definedName>
    <definedName name="_36__123Graph_BCHART_10" hidden="1">'[2]Produt JAN'!$AE$12:$AE$44</definedName>
    <definedName name="_37__123Graph_BCHART_13" hidden="1">'[2]Produt FEV'!$AE$12:$AE$44</definedName>
    <definedName name="_38__123Graph_BCHART_14" hidden="1">'[2]Produt MAR'!$AE$12:$AE$44</definedName>
    <definedName name="_39__123Graph_BCHART_15" hidden="1">'[2]Produt ABR'!$AE$12:$AE$44</definedName>
    <definedName name="_4__123Graph_ACHART_12" hidden="1">'[2]Produt JAN'!$J$48:$L$48</definedName>
    <definedName name="_40__123Graph_BCHART_16" hidden="1">'[2]Produt MAI'!$AE$12:$AE$44</definedName>
    <definedName name="_41__123Graph_BCHART_17" hidden="1">'[2]Produt JUN'!$AE$12:$AE$44</definedName>
    <definedName name="_42__123Graph_BCHART_18" hidden="1">'[2]Produt JUL'!$AE$12:$AE$44</definedName>
    <definedName name="_43__123Graph_BCHART_19" hidden="1">'[2]Produt AGO'!$AE$12:$AE$44</definedName>
    <definedName name="_44__123Graph_BCHART_2" hidden="1">[3]PARETOS!$N$4:$N$10</definedName>
    <definedName name="_45__123Graph_BCHART_20" hidden="1">'[2]Produt SET'!$AE$12:$AE$44</definedName>
    <definedName name="_46__123Graph_BCHART_21" hidden="1">'[2]Produt OUT'!$AE$12:$AE$44</definedName>
    <definedName name="_47__123Graph_BCHART_22" hidden="1">'[2]Produt NOV'!$AE$12:$AE$44</definedName>
    <definedName name="_48__123Graph_BCHART_23" hidden="1">'[2]Produt DEZ'!$AE$12:$AE$44</definedName>
    <definedName name="_49__123Graph_BCHART_3" hidden="1">[3]PARETOS!$O$28:$O$35</definedName>
    <definedName name="_5__123Graph_ACHART_13" hidden="1">'[2]Produt FEV'!$B$12:$B$13</definedName>
    <definedName name="_50__123Graph_BCHART_6" hidden="1">[2]DADOS!$O$15:$O$26</definedName>
    <definedName name="_51__123Graph_BCHART_9" hidden="1">[2]DADOS!$U$13:$U$26</definedName>
    <definedName name="_52__123Graph_CCHART_1" hidden="1">[2]DADOS!$L$13:$L$26</definedName>
    <definedName name="_53__123Graph_CCHART_10" hidden="1">'[2]Produt JAN'!$AF$12:$AF$44</definedName>
    <definedName name="_54__123Graph_CCHART_13" hidden="1">'[2]Produt FEV'!$AF$12:$AF$44</definedName>
    <definedName name="_55__123Graph_CCHART_14" hidden="1">'[2]Produt MAR'!$AF$12:$AF$44</definedName>
    <definedName name="_56__123Graph_CCHART_15" hidden="1">'[2]Produt ABR'!$AF$12:$AF$44</definedName>
    <definedName name="_57__123Graph_CCHART_16" hidden="1">'[2]Produt MAI'!$AF$12:$AF$44</definedName>
    <definedName name="_58__123Graph_CCHART_17" hidden="1">'[2]Produt JUN'!$AF$12:$AF$44</definedName>
    <definedName name="_59__123Graph_CCHART_18" hidden="1">'[2]Produt JUL'!$AF$12:$AF$44</definedName>
    <definedName name="_6__123Graph_ACHART_14" hidden="1">'[2]Produt MAR'!$B$12:$B$13</definedName>
    <definedName name="_60__123Graph_CCHART_19" hidden="1">'[2]Produt AGO'!$AF$12:$AF$44</definedName>
    <definedName name="_61__123Graph_CCHART_20" hidden="1">'[2]Produt SET'!$AF$12:$AF$44</definedName>
    <definedName name="_62__123Graph_CCHART_21" hidden="1">'[2]Produt OUT'!$AF$12:$AF$44</definedName>
    <definedName name="_63__123Graph_CCHART_22" hidden="1">'[2]Produt NOV'!$AF$12:$AF$44</definedName>
    <definedName name="_64__123Graph_CCHART_23" hidden="1">'[2]Produt DEZ'!$AF$12:$AF$44</definedName>
    <definedName name="_65__123Graph_CCHART_6" hidden="1">[2]DADOS!$P$15:$P$26</definedName>
    <definedName name="_66__123Graph_CCHART_9" hidden="1">[2]DADOS!$S$13:$S$26</definedName>
    <definedName name="_67__123Graph_DCHART_1" hidden="1">[2]DADOS!$M$13:$M$26</definedName>
    <definedName name="_68__123Graph_DCHART_10" hidden="1">'[2]Produt JAN'!$AG$12:$AG$44</definedName>
    <definedName name="_69__123Graph_DCHART_13" hidden="1">'[2]Produt FEV'!$AG$12:$AG$44</definedName>
    <definedName name="_7__123Graph_ACHART_15" hidden="1">'[2]Produt ABR'!$B$12:$B$13</definedName>
    <definedName name="_70__123Graph_DCHART_14" hidden="1">'[2]Produt MAR'!$AG$12:$AG$44</definedName>
    <definedName name="_71__123Graph_DCHART_15" hidden="1">'[2]Produt ABR'!$AG$12:$AG$44</definedName>
    <definedName name="_72__123Graph_DCHART_16" hidden="1">'[2]Produt MAI'!$AG$12:$AG$44</definedName>
    <definedName name="_73__123Graph_DCHART_17" hidden="1">'[2]Produt JUN'!$AG$12:$AG$44</definedName>
    <definedName name="_74__123Graph_DCHART_18" hidden="1">'[2]Produt JUL'!$AG$12:$AG$44</definedName>
    <definedName name="_75__123Graph_DCHART_19" hidden="1">'[2]Produt AGO'!$AG$12:$AG$44</definedName>
    <definedName name="_76__123Graph_DCHART_20" hidden="1">'[2]Produt SET'!$AG$12:$AG$44</definedName>
    <definedName name="_77__123Graph_DCHART_21" hidden="1">'[2]Produt OUT'!$AG$12:$AG$44</definedName>
    <definedName name="_78__123Graph_DCHART_22" hidden="1">'[2]Produt NOV'!$AG$12:$AG$44</definedName>
    <definedName name="_79__123Graph_DCHART_23" hidden="1">'[2]Produt DEZ'!$AG$12:$AG$44</definedName>
    <definedName name="_8__123Graph_ACHART_16" hidden="1">'[2]Produt MAI'!$B$12:$B$13</definedName>
    <definedName name="_80__123Graph_DCHART_6" hidden="1">[2]DADOS!$Q$15:$Q$26</definedName>
    <definedName name="_81__123Graph_DCHART_9" hidden="1">[2]DADOS!$V$13:$V$26</definedName>
    <definedName name="_82__123Graph_ECHART_10" hidden="1">'[2]Produt JAN'!$AH$12:$AH$44</definedName>
    <definedName name="_83__123Graph_ECHART_13" hidden="1">'[2]Produt FEV'!$AH$12:$AH$44</definedName>
    <definedName name="_84__123Graph_ECHART_14" hidden="1">'[2]Produt MAR'!$AH$12:$AH$44</definedName>
    <definedName name="_85__123Graph_ECHART_15" hidden="1">'[2]Produt ABR'!$AH$12:$AH$44</definedName>
    <definedName name="_86__123Graph_ECHART_16" hidden="1">'[2]Produt MAI'!$AH$12:$AH$44</definedName>
    <definedName name="_87__123Graph_ECHART_17" hidden="1">'[2]Produt JUN'!$AH$12:$AH$44</definedName>
    <definedName name="_88__123Graph_ECHART_18" hidden="1">'[2]Produt JUL'!$AH$12:$AH$44</definedName>
    <definedName name="_89__123Graph_ECHART_19" hidden="1">'[2]Produt AGO'!$AH$12:$AH$44</definedName>
    <definedName name="_9__123Graph_ACHART_17" hidden="1">'[2]Produt JUN'!$B$12:$B$13</definedName>
    <definedName name="_90__123Graph_ECHART_20" hidden="1">'[2]Produt SET'!$AH$12:$AH$44</definedName>
    <definedName name="_91__123Graph_ECHART_21" hidden="1">'[2]Produt OUT'!$AH$12:$AH$44</definedName>
    <definedName name="_92__123Graph_ECHART_22" hidden="1">'[2]Produt NOV'!$AH$12:$AH$44</definedName>
    <definedName name="_93__123Graph_ECHART_23" hidden="1">'[2]Produt DEZ'!$AH$12:$AH$44</definedName>
    <definedName name="_94__123Graph_ECHART_9" hidden="1">[2]DADOS!$W$13:$W$26</definedName>
    <definedName name="_95__123Graph_FCHART_10" hidden="1">'[2]Produt JAN'!$D$12:$D$44</definedName>
    <definedName name="_96__123Graph_FCHART_13" hidden="1">'[2]Produt FEV'!$D$12:$D$44</definedName>
    <definedName name="_97__123Graph_FCHART_14" hidden="1">'[2]Produt MAR'!$D$12:$D$44</definedName>
    <definedName name="_98__123Graph_FCHART_15" hidden="1">'[2]Produt ABR'!$D$12:$D$44</definedName>
    <definedName name="_99__123Graph_FCHART_16" hidden="1">'[2]Produt MAI'!$D$12:$D$44</definedName>
    <definedName name="_Fill" hidden="1">[4]CIV!#REF!</definedName>
    <definedName name="_xlnm._FilterDatabase" localSheetId="1" hidden="1">'Programação Semanal'!$C$9:$Y$44</definedName>
    <definedName name="_Key1" hidden="1">'[3]DESEMP AN'!$C$37:$C$77</definedName>
    <definedName name="_Key2" hidden="1">'[3]DESEMP AN'!$B$37:$B$65</definedName>
    <definedName name="_Order1" hidden="1">0</definedName>
    <definedName name="_Order2" hidden="1">255</definedName>
    <definedName name="_Sort" hidden="1">'[3]DESEMP AN'!$B$37:$H$86</definedName>
    <definedName name="_xlnm.Print_Area" localSheetId="1">'Programação Semanal'!$A$1:$AF$54</definedName>
    <definedName name="Causa">[5]Armaz.Dados!$I$1:$J$28</definedName>
    <definedName name="CC">#REF!</definedName>
    <definedName name="Comp_Auxil">'[6]Composição Auxiliares'!$A$2:$L$475</definedName>
    <definedName name="COMPOSIÇÃO">[6]COMPOSIÇÕES!$B$2:$M$3932</definedName>
    <definedName name="encarregado">#REF!</definedName>
    <definedName name="EQUIPAMENTO">[6]EQUIPAMENTO!$B$3:$L$44</definedName>
    <definedName name="FILL" hidden="1">#REF!</definedName>
    <definedName name="função">#REF!</definedName>
    <definedName name="FUNCIONARIO">'[7]Folha de pagamento'!$B$2:$B$3128</definedName>
    <definedName name="INSUMP">'[6]Resumo Insumos não val'!$A$116:$J$31616</definedName>
    <definedName name="KEY" hidden="1">#REF!</definedName>
    <definedName name="LOCAIS">[8]CADASTRO!$A$13:$A$58</definedName>
    <definedName name="MATERIAL">[6]MATERIAL!$B$3:$I$75</definedName>
    <definedName name="MO">[6]MO!$B$4:$F$29</definedName>
    <definedName name="MVP_05">'[6]MVP-05'!$C$11:$H$501</definedName>
    <definedName name="NUMER_COMPOSIÇÃO">[6]COMPOSIÇÕES!$A$13:$M$3932</definedName>
    <definedName name="Panilha_Resumo">'[6]PLANILHA RESUMO'!$C$3:$I$270</definedName>
    <definedName name="ppp" hidden="1">#REF!</definedName>
    <definedName name="REGISTRO">#REF!</definedName>
    <definedName name="SEMANA">#REF!</definedName>
    <definedName name="_xlnm.Print_Titles" localSheetId="1">'Programação Semanal'!$2:$9</definedName>
    <definedName name="TUNEL_0">[8]CADASTRO!$B$372:$B$377+[8]CADASTRO!$C$372:$C$377</definedName>
    <definedName name="TURNO">[8]CADASTRO!$A$3:$A$8</definedName>
    <definedName name="UP_15">[8]CADASTRO!#REF!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1" i="57" l="1"/>
  <c r="W12" i="57"/>
  <c r="X11" i="57" s="1"/>
  <c r="W22" i="57" l="1"/>
  <c r="W21" i="57"/>
  <c r="W14" i="57"/>
  <c r="AD11" i="57" l="1"/>
  <c r="W54" i="57" l="1"/>
  <c r="W53" i="57"/>
  <c r="W51" i="57"/>
  <c r="W52" i="57"/>
  <c r="W50" i="57"/>
  <c r="W49" i="57"/>
  <c r="X21" i="57"/>
  <c r="W48" i="57"/>
  <c r="W47" i="57"/>
  <c r="W46" i="57"/>
  <c r="W45" i="57"/>
  <c r="X49" i="57" l="1"/>
  <c r="AD49" i="57" s="1"/>
  <c r="X53" i="57"/>
  <c r="AD53" i="57" s="1"/>
  <c r="X51" i="57"/>
  <c r="AD51" i="57" s="1"/>
  <c r="X47" i="57"/>
  <c r="AD47" i="57" s="1"/>
  <c r="X45" i="57"/>
  <c r="AD45" i="57" s="1"/>
  <c r="W16" i="57" l="1"/>
  <c r="W17" i="57"/>
  <c r="W18" i="57"/>
  <c r="W19" i="57"/>
  <c r="W20" i="57"/>
  <c r="W23" i="57"/>
  <c r="W24" i="57"/>
  <c r="W25" i="57"/>
  <c r="W26" i="57"/>
  <c r="W27" i="57"/>
  <c r="W28" i="57"/>
  <c r="W29" i="57"/>
  <c r="W30" i="57"/>
  <c r="W31" i="57"/>
  <c r="W32" i="57"/>
  <c r="W33" i="57"/>
  <c r="W34" i="57"/>
  <c r="W35" i="57"/>
  <c r="W36" i="57"/>
  <c r="W37" i="57"/>
  <c r="W38" i="57"/>
  <c r="W40" i="57"/>
  <c r="W42" i="57"/>
  <c r="W43" i="57"/>
  <c r="W44" i="57"/>
  <c r="W13" i="57"/>
  <c r="X13" i="57" s="1"/>
  <c r="W41" i="57"/>
  <c r="W39" i="57"/>
  <c r="X29" i="57" l="1"/>
  <c r="X25" i="57"/>
  <c r="X27" i="57"/>
  <c r="AD27" i="57" s="1"/>
  <c r="X31" i="57"/>
  <c r="X17" i="57"/>
  <c r="X35" i="57"/>
  <c r="X23" i="57"/>
  <c r="X37" i="57"/>
  <c r="X19" i="57"/>
  <c r="X41" i="57"/>
  <c r="AD41" i="57" s="1"/>
  <c r="X39" i="57"/>
  <c r="AD39" i="57" s="1"/>
  <c r="X43" i="57"/>
  <c r="AD13" i="57"/>
  <c r="X33" i="57"/>
  <c r="AD43" i="57" l="1"/>
  <c r="AD37" i="57"/>
  <c r="AD31" i="57"/>
  <c r="AD35" i="57"/>
  <c r="AD33" i="57"/>
  <c r="AD29" i="57"/>
  <c r="AD25" i="57"/>
  <c r="AD23" i="57"/>
  <c r="AD21" i="57"/>
  <c r="W15" i="57"/>
  <c r="X15" i="57" s="1"/>
  <c r="X7" i="57" s="1"/>
  <c r="AD19" i="57" l="1"/>
  <c r="AD17" i="57" l="1"/>
  <c r="AD15" i="57" l="1"/>
  <c r="R8" i="57" l="1"/>
  <c r="S8" i="57" s="1"/>
  <c r="T8" i="57" s="1"/>
  <c r="U8" i="57" s="1"/>
  <c r="V8" i="57" s="1"/>
  <c r="X4" i="57" l="1"/>
  <c r="O4" i="57"/>
  <c r="C7" i="33" l="1"/>
  <c r="D8" i="33" l="1"/>
  <c r="D9" i="33" s="1"/>
  <c r="D10" i="33" s="1"/>
  <c r="D11" i="33" s="1"/>
  <c r="D12" i="33" s="1"/>
  <c r="D13" i="33" s="1"/>
  <c r="D14" i="33" s="1"/>
  <c r="D15" i="33" s="1"/>
  <c r="D16" i="33" s="1"/>
  <c r="D17" i="33" s="1"/>
  <c r="D18" i="33" s="1"/>
  <c r="D19" i="33" s="1"/>
  <c r="D20" i="33" s="1"/>
  <c r="D21" i="33" s="1"/>
  <c r="D22" i="33" s="1"/>
  <c r="D23" i="33" s="1"/>
  <c r="D24" i="33" s="1"/>
  <c r="D25" i="33" s="1"/>
  <c r="D26" i="33" s="1"/>
  <c r="D27" i="33" s="1"/>
  <c r="D28" i="33" s="1"/>
  <c r="D29" i="33" s="1"/>
  <c r="D30" i="33" s="1"/>
  <c r="D31" i="33" s="1"/>
  <c r="D32" i="33" s="1"/>
  <c r="D33" i="33" s="1"/>
  <c r="D34" i="33" s="1"/>
  <c r="D35" i="33" s="1"/>
  <c r="D36" i="33" s="1"/>
  <c r="D37" i="33" s="1"/>
  <c r="D38" i="33" s="1"/>
  <c r="D39" i="33" s="1"/>
  <c r="D40" i="33" s="1"/>
  <c r="D41" i="33" s="1"/>
  <c r="D42" i="33" s="1"/>
  <c r="D43" i="33" s="1"/>
  <c r="D44" i="33" s="1"/>
  <c r="D45" i="33" s="1"/>
  <c r="D46" i="33" s="1"/>
  <c r="D47" i="33" s="1"/>
  <c r="D48" i="33" s="1"/>
  <c r="D49" i="33" s="1"/>
  <c r="D50" i="33" s="1"/>
  <c r="D51" i="33" s="1"/>
  <c r="D52" i="33" s="1"/>
  <c r="D53" i="33" s="1"/>
  <c r="D54" i="33" s="1"/>
  <c r="D55" i="33" s="1"/>
  <c r="D56" i="33" s="1"/>
  <c r="D57" i="33" s="1"/>
  <c r="D58" i="33" s="1"/>
  <c r="D59" i="33" s="1"/>
  <c r="D60" i="33" s="1"/>
  <c r="D61" i="33" s="1"/>
  <c r="D62" i="33" s="1"/>
  <c r="D63" i="33" s="1"/>
  <c r="D64" i="33" s="1"/>
  <c r="D65" i="33" s="1"/>
  <c r="D66" i="33" s="1"/>
  <c r="D67" i="33" s="1"/>
  <c r="D68" i="33" s="1"/>
  <c r="D69" i="33" s="1"/>
  <c r="D70" i="33" s="1"/>
  <c r="D71" i="33" s="1"/>
  <c r="D72" i="33" s="1"/>
  <c r="D73" i="33" s="1"/>
  <c r="D74" i="33" s="1"/>
  <c r="D75" i="33" s="1"/>
  <c r="D76" i="33" s="1"/>
  <c r="D77" i="33" s="1"/>
  <c r="D78" i="33" s="1"/>
  <c r="D79" i="33" s="1"/>
  <c r="D80" i="33" s="1"/>
  <c r="D81" i="33" s="1"/>
  <c r="D82" i="33" s="1"/>
  <c r="D83" i="33" s="1"/>
  <c r="D84" i="33" s="1"/>
  <c r="D85" i="33" s="1"/>
  <c r="D86" i="33" s="1"/>
  <c r="D87" i="33" s="1"/>
  <c r="D88" i="33" s="1"/>
  <c r="D89" i="33" s="1"/>
  <c r="D90" i="33" s="1"/>
  <c r="D91" i="33" s="1"/>
  <c r="D92" i="33" s="1"/>
  <c r="D93" i="33" s="1"/>
  <c r="D94" i="33" s="1"/>
  <c r="D95" i="33" s="1"/>
  <c r="D96" i="33" s="1"/>
  <c r="D97" i="33" s="1"/>
  <c r="D98" i="33" s="1"/>
  <c r="D99" i="33" s="1"/>
  <c r="D100" i="33" s="1"/>
  <c r="D101" i="33" s="1"/>
  <c r="D102" i="33" s="1"/>
  <c r="D103" i="33" s="1"/>
  <c r="D104" i="33" s="1"/>
  <c r="D105" i="33" s="1"/>
  <c r="D106" i="33" s="1"/>
  <c r="D107" i="33" s="1"/>
  <c r="D108" i="33" s="1"/>
  <c r="D109" i="33" s="1"/>
  <c r="D110" i="33" s="1"/>
  <c r="D111" i="33" s="1"/>
  <c r="D112" i="33" s="1"/>
  <c r="D113" i="33" s="1"/>
  <c r="D114" i="33" s="1"/>
  <c r="D115" i="33" s="1"/>
  <c r="D116" i="33" s="1"/>
  <c r="D117" i="33" s="1"/>
  <c r="D118" i="33" s="1"/>
  <c r="D119" i="33" s="1"/>
  <c r="D120" i="33" s="1"/>
  <c r="D121" i="33" s="1"/>
  <c r="D122" i="33" s="1"/>
  <c r="D123" i="33" s="1"/>
  <c r="D124" i="33" s="1"/>
  <c r="D125" i="33" s="1"/>
  <c r="D126" i="33" s="1"/>
  <c r="D127" i="33" s="1"/>
  <c r="D128" i="33" s="1"/>
  <c r="D129" i="33" s="1"/>
  <c r="D130" i="33" s="1"/>
  <c r="D131" i="33" s="1"/>
  <c r="D132" i="33" s="1"/>
  <c r="D133" i="33" s="1"/>
  <c r="D134" i="33" s="1"/>
  <c r="D135" i="33" s="1"/>
  <c r="D136" i="33" s="1"/>
  <c r="D137" i="33" s="1"/>
  <c r="D138" i="33" s="1"/>
  <c r="D139" i="33" s="1"/>
  <c r="D140" i="33" s="1"/>
  <c r="D141" i="33" s="1"/>
  <c r="D142" i="33" s="1"/>
  <c r="D143" i="33" s="1"/>
  <c r="D144" i="33" s="1"/>
  <c r="D145" i="33" s="1"/>
  <c r="D146" i="33" s="1"/>
  <c r="D147" i="33" s="1"/>
  <c r="D148" i="33" s="1"/>
  <c r="D149" i="33" s="1"/>
  <c r="D150" i="33" s="1"/>
  <c r="D151" i="33" s="1"/>
  <c r="D152" i="33" s="1"/>
  <c r="D153" i="33" s="1"/>
  <c r="D154" i="33" s="1"/>
  <c r="D155" i="33" s="1"/>
  <c r="D156" i="33" s="1"/>
  <c r="D157" i="33" s="1"/>
  <c r="D158" i="33" s="1"/>
  <c r="D159" i="33" s="1"/>
  <c r="D160" i="33" s="1"/>
  <c r="D161" i="33" s="1"/>
  <c r="D162" i="33" s="1"/>
  <c r="D163" i="33" s="1"/>
  <c r="D164" i="33" s="1"/>
  <c r="D165" i="33" s="1"/>
  <c r="D166" i="33" s="1"/>
  <c r="D167" i="33" s="1"/>
  <c r="D168" i="33" s="1"/>
  <c r="D169" i="33" s="1"/>
  <c r="D170" i="33" s="1"/>
  <c r="D171" i="33" s="1"/>
  <c r="D172" i="33" s="1"/>
  <c r="D173" i="33" s="1"/>
  <c r="D174" i="33" s="1"/>
  <c r="D175" i="33" s="1"/>
  <c r="D176" i="33" s="1"/>
  <c r="D177" i="33" s="1"/>
  <c r="D178" i="33" s="1"/>
  <c r="D179" i="33" s="1"/>
  <c r="D180" i="33" s="1"/>
  <c r="D181" i="33" s="1"/>
  <c r="D182" i="33" s="1"/>
  <c r="D183" i="33" s="1"/>
  <c r="D184" i="33" s="1"/>
  <c r="D185" i="33" s="1"/>
  <c r="D186" i="33" s="1"/>
  <c r="D187" i="33" s="1"/>
  <c r="D188" i="33" s="1"/>
  <c r="D189" i="33" s="1"/>
  <c r="D190" i="33" s="1"/>
  <c r="D191" i="33" s="1"/>
  <c r="D192" i="33" s="1"/>
  <c r="D193" i="33" s="1"/>
  <c r="D194" i="33" s="1"/>
  <c r="D195" i="33" s="1"/>
  <c r="D196" i="33" s="1"/>
  <c r="C8" i="33"/>
  <c r="C9" i="33" s="1"/>
  <c r="C10" i="33" s="1"/>
  <c r="C11" i="33" s="1"/>
  <c r="C12" i="33" s="1"/>
  <c r="C13" i="33" s="1"/>
  <c r="C14" i="33" s="1"/>
  <c r="C15" i="33" s="1"/>
  <c r="C16" i="33" s="1"/>
  <c r="C17" i="33" s="1"/>
  <c r="C18" i="33" s="1"/>
  <c r="C19" i="33" s="1"/>
  <c r="C20" i="33" s="1"/>
  <c r="C21" i="33" s="1"/>
  <c r="C22" i="33" s="1"/>
  <c r="C23" i="33" s="1"/>
  <c r="C24" i="33" s="1"/>
  <c r="C25" i="33" s="1"/>
  <c r="C26" i="33" s="1"/>
  <c r="C27" i="33" s="1"/>
  <c r="C28" i="33" s="1"/>
  <c r="C29" i="33" s="1"/>
  <c r="C30" i="33" s="1"/>
  <c r="C31" i="33" s="1"/>
  <c r="C32" i="33" s="1"/>
  <c r="C33" i="33" s="1"/>
  <c r="C34" i="33" s="1"/>
  <c r="C35" i="33" s="1"/>
  <c r="C36" i="33" s="1"/>
  <c r="C37" i="33" s="1"/>
  <c r="C38" i="33" s="1"/>
  <c r="C39" i="33" s="1"/>
  <c r="C40" i="33" s="1"/>
  <c r="C41" i="33" s="1"/>
  <c r="C42" i="33" s="1"/>
  <c r="C43" i="33" s="1"/>
  <c r="C44" i="33" s="1"/>
  <c r="C45" i="33" s="1"/>
  <c r="C46" i="33" s="1"/>
  <c r="C47" i="33" s="1"/>
  <c r="C48" i="33" s="1"/>
  <c r="C49" i="33" s="1"/>
  <c r="C50" i="33" s="1"/>
  <c r="C51" i="33" s="1"/>
  <c r="C52" i="33" s="1"/>
  <c r="C53" i="33" s="1"/>
  <c r="C54" i="33" s="1"/>
  <c r="C55" i="33" s="1"/>
  <c r="C56" i="33" s="1"/>
  <c r="C57" i="33" s="1"/>
  <c r="C58" i="33" s="1"/>
  <c r="C59" i="33" s="1"/>
  <c r="C60" i="33" s="1"/>
  <c r="C61" i="33" s="1"/>
  <c r="C62" i="33" s="1"/>
  <c r="C63" i="33" s="1"/>
  <c r="C64" i="33" s="1"/>
  <c r="C65" i="33" s="1"/>
  <c r="C66" i="33" s="1"/>
  <c r="C67" i="33" s="1"/>
  <c r="C68" i="33" s="1"/>
  <c r="C69" i="33" s="1"/>
  <c r="C70" i="33" s="1"/>
  <c r="C71" i="33" s="1"/>
  <c r="C72" i="33" s="1"/>
  <c r="C73" i="33" s="1"/>
  <c r="C74" i="33" s="1"/>
  <c r="C75" i="33" s="1"/>
  <c r="C76" i="33" s="1"/>
  <c r="C77" i="33" s="1"/>
  <c r="C78" i="33" s="1"/>
  <c r="C79" i="33" s="1"/>
  <c r="C80" i="33" s="1"/>
  <c r="C81" i="33" s="1"/>
  <c r="C82" i="33" s="1"/>
  <c r="C83" i="33" s="1"/>
  <c r="C84" i="33" s="1"/>
  <c r="C85" i="33" s="1"/>
  <c r="C86" i="33" s="1"/>
  <c r="C87" i="33" s="1"/>
  <c r="C88" i="33" s="1"/>
  <c r="C89" i="33" s="1"/>
  <c r="C90" i="33" s="1"/>
  <c r="C91" i="33" s="1"/>
  <c r="C92" i="33" s="1"/>
  <c r="C93" i="33" s="1"/>
  <c r="C94" i="33" s="1"/>
  <c r="C95" i="33" s="1"/>
  <c r="C96" i="33" s="1"/>
  <c r="C97" i="33" s="1"/>
  <c r="C98" i="33" s="1"/>
  <c r="C99" i="33" s="1"/>
  <c r="C100" i="33" s="1"/>
  <c r="C101" i="33" s="1"/>
  <c r="C102" i="33" s="1"/>
  <c r="C103" i="33" s="1"/>
  <c r="C104" i="33" s="1"/>
  <c r="C105" i="33" s="1"/>
  <c r="C106" i="33" s="1"/>
  <c r="C107" i="33" s="1"/>
  <c r="C108" i="33" s="1"/>
  <c r="C109" i="33" s="1"/>
  <c r="C110" i="33" s="1"/>
  <c r="C111" i="33" s="1"/>
  <c r="C112" i="33" s="1"/>
  <c r="C113" i="33" s="1"/>
  <c r="C114" i="33" s="1"/>
  <c r="C115" i="33" s="1"/>
  <c r="C116" i="33" s="1"/>
  <c r="C117" i="33" s="1"/>
  <c r="C118" i="33" s="1"/>
  <c r="C119" i="33" s="1"/>
  <c r="C120" i="33" s="1"/>
  <c r="C121" i="33" s="1"/>
  <c r="C122" i="33" s="1"/>
  <c r="C123" i="33" s="1"/>
  <c r="C124" i="33" s="1"/>
  <c r="C125" i="33" s="1"/>
  <c r="C126" i="33" s="1"/>
  <c r="C127" i="33" s="1"/>
  <c r="C128" i="33" s="1"/>
  <c r="C129" i="33" s="1"/>
  <c r="C130" i="33" s="1"/>
  <c r="C131" i="33" s="1"/>
  <c r="C132" i="33" s="1"/>
  <c r="C133" i="33" s="1"/>
  <c r="C134" i="33" s="1"/>
  <c r="C135" i="33" s="1"/>
  <c r="C136" i="33" s="1"/>
  <c r="C137" i="33" s="1"/>
  <c r="C138" i="33" s="1"/>
  <c r="C139" i="33" s="1"/>
  <c r="C140" i="33" s="1"/>
  <c r="C141" i="33" s="1"/>
  <c r="C142" i="33" s="1"/>
  <c r="C143" i="33" s="1"/>
  <c r="C144" i="33" s="1"/>
  <c r="C145" i="33" s="1"/>
  <c r="C146" i="33" s="1"/>
  <c r="C147" i="33" s="1"/>
  <c r="C148" i="33" s="1"/>
  <c r="C149" i="33" s="1"/>
  <c r="C150" i="33" s="1"/>
  <c r="C151" i="33" s="1"/>
  <c r="C152" i="33" s="1"/>
  <c r="C153" i="33" s="1"/>
  <c r="C154" i="33" s="1"/>
  <c r="C155" i="33" s="1"/>
  <c r="C156" i="33" s="1"/>
  <c r="C157" i="33" s="1"/>
  <c r="C158" i="33" s="1"/>
  <c r="C159" i="33" s="1"/>
  <c r="C160" i="33" s="1"/>
  <c r="C161" i="33" s="1"/>
  <c r="C162" i="33" s="1"/>
  <c r="C163" i="33" s="1"/>
  <c r="C164" i="33" s="1"/>
  <c r="C165" i="33" s="1"/>
  <c r="C166" i="33" s="1"/>
  <c r="C167" i="33" s="1"/>
  <c r="C168" i="33" s="1"/>
  <c r="C169" i="33" s="1"/>
  <c r="C170" i="33" s="1"/>
  <c r="C171" i="33" s="1"/>
  <c r="C172" i="33" s="1"/>
  <c r="C173" i="33" s="1"/>
  <c r="C174" i="33" s="1"/>
  <c r="C175" i="33" s="1"/>
  <c r="C176" i="33" s="1"/>
  <c r="C177" i="33" s="1"/>
  <c r="C178" i="33" s="1"/>
  <c r="C179" i="33" s="1"/>
  <c r="C180" i="33" s="1"/>
  <c r="C181" i="33" s="1"/>
  <c r="C182" i="33" s="1"/>
  <c r="C183" i="33" s="1"/>
  <c r="C184" i="33" s="1"/>
  <c r="C185" i="33" s="1"/>
  <c r="C186" i="33" s="1"/>
  <c r="C187" i="33" s="1"/>
  <c r="C188" i="33" s="1"/>
  <c r="C189" i="33" s="1"/>
  <c r="C190" i="33" s="1"/>
  <c r="C191" i="33" s="1"/>
  <c r="C192" i="33" s="1"/>
  <c r="C193" i="33" s="1"/>
  <c r="C194" i="33" s="1"/>
  <c r="C195" i="33" s="1"/>
  <c r="C196" i="33" s="1"/>
  <c r="B8" i="33"/>
  <c r="B9" i="33" s="1"/>
  <c r="B10" i="33" s="1"/>
  <c r="B11" i="33" s="1"/>
  <c r="B12" i="33" s="1"/>
  <c r="B13" i="33" s="1"/>
  <c r="B14" i="33" s="1"/>
  <c r="B15" i="33" s="1"/>
  <c r="B16" i="33" s="1"/>
  <c r="B17" i="33" s="1"/>
  <c r="B18" i="33" s="1"/>
  <c r="B19" i="33" s="1"/>
  <c r="B20" i="33" s="1"/>
  <c r="B21" i="33" s="1"/>
  <c r="B22" i="33" s="1"/>
  <c r="B23" i="33" s="1"/>
  <c r="B24" i="33" s="1"/>
  <c r="B25" i="33" s="1"/>
  <c r="B26" i="33" s="1"/>
  <c r="B27" i="33" s="1"/>
  <c r="B28" i="33" s="1"/>
  <c r="B29" i="33" s="1"/>
  <c r="B30" i="33" s="1"/>
  <c r="B31" i="33" s="1"/>
  <c r="B32" i="33" s="1"/>
  <c r="B33" i="33" s="1"/>
  <c r="B34" i="33" s="1"/>
  <c r="B35" i="33" s="1"/>
  <c r="B36" i="33" s="1"/>
  <c r="B37" i="33" s="1"/>
  <c r="B38" i="33" s="1"/>
  <c r="B39" i="33" s="1"/>
  <c r="B40" i="33" s="1"/>
  <c r="B41" i="33" s="1"/>
  <c r="B42" i="33" s="1"/>
  <c r="B43" i="33" s="1"/>
  <c r="B44" i="33" s="1"/>
  <c r="B45" i="33" s="1"/>
  <c r="B46" i="33" s="1"/>
  <c r="B47" i="33" s="1"/>
  <c r="B48" i="33" s="1"/>
  <c r="B49" i="33" s="1"/>
  <c r="B50" i="33" s="1"/>
  <c r="B51" i="33" s="1"/>
  <c r="B52" i="33" s="1"/>
  <c r="B53" i="33" s="1"/>
  <c r="B54" i="33" s="1"/>
  <c r="B55" i="33" s="1"/>
  <c r="B56" i="33" s="1"/>
  <c r="B57" i="33" s="1"/>
  <c r="B58" i="33" s="1"/>
  <c r="B59" i="33" s="1"/>
  <c r="B60" i="33" s="1"/>
  <c r="B61" i="33" s="1"/>
  <c r="B62" i="33" s="1"/>
  <c r="B63" i="33" s="1"/>
  <c r="B64" i="33" s="1"/>
  <c r="B65" i="33" s="1"/>
  <c r="B66" i="33" s="1"/>
  <c r="B67" i="33" s="1"/>
  <c r="B68" i="33" s="1"/>
  <c r="B69" i="33" s="1"/>
  <c r="B70" i="33" s="1"/>
  <c r="B71" i="33" s="1"/>
  <c r="B72" i="33" s="1"/>
  <c r="B73" i="33" s="1"/>
  <c r="B74" i="33" s="1"/>
  <c r="B75" i="33" s="1"/>
  <c r="B76" i="33" s="1"/>
  <c r="B77" i="33" s="1"/>
  <c r="B78" i="33" s="1"/>
  <c r="B79" i="33" s="1"/>
  <c r="B80" i="33" s="1"/>
  <c r="B81" i="33" s="1"/>
  <c r="B82" i="33" s="1"/>
  <c r="B83" i="33" s="1"/>
  <c r="B84" i="33" s="1"/>
  <c r="B85" i="33" s="1"/>
  <c r="B86" i="33" s="1"/>
  <c r="B87" i="33" s="1"/>
  <c r="B88" i="33" s="1"/>
  <c r="B89" i="33" s="1"/>
  <c r="B90" i="33" s="1"/>
  <c r="B91" i="33" s="1"/>
  <c r="B92" i="33" s="1"/>
  <c r="B93" i="33" s="1"/>
  <c r="B94" i="33" s="1"/>
  <c r="B95" i="33" s="1"/>
  <c r="B96" i="33" s="1"/>
  <c r="B97" i="33" s="1"/>
  <c r="B98" i="33" s="1"/>
  <c r="B99" i="33" s="1"/>
  <c r="B100" i="33" s="1"/>
  <c r="B101" i="33" s="1"/>
  <c r="B102" i="33" s="1"/>
  <c r="B103" i="33" s="1"/>
  <c r="B104" i="33" s="1"/>
  <c r="B105" i="33" s="1"/>
  <c r="B106" i="33" s="1"/>
  <c r="B107" i="33" s="1"/>
  <c r="B108" i="33" s="1"/>
  <c r="B109" i="33" s="1"/>
  <c r="B110" i="33" s="1"/>
  <c r="B111" i="33" s="1"/>
  <c r="B112" i="33" s="1"/>
  <c r="B113" i="33" s="1"/>
  <c r="B114" i="33" s="1"/>
  <c r="B115" i="33" s="1"/>
  <c r="B116" i="33" s="1"/>
  <c r="B117" i="33" s="1"/>
  <c r="B118" i="33" s="1"/>
  <c r="B119" i="33" s="1"/>
  <c r="B120" i="33" s="1"/>
  <c r="B121" i="33" s="1"/>
  <c r="B122" i="33" s="1"/>
  <c r="B123" i="33" s="1"/>
  <c r="B124" i="33" s="1"/>
  <c r="B125" i="33" s="1"/>
  <c r="B126" i="33" s="1"/>
  <c r="B127" i="33" s="1"/>
  <c r="B128" i="33" s="1"/>
  <c r="B129" i="33" s="1"/>
  <c r="B130" i="33" s="1"/>
  <c r="B131" i="33" s="1"/>
  <c r="B132" i="33" s="1"/>
  <c r="B133" i="33" s="1"/>
  <c r="B134" i="33" s="1"/>
  <c r="B135" i="33" s="1"/>
  <c r="B136" i="33" s="1"/>
  <c r="B137" i="33" s="1"/>
  <c r="B138" i="33" s="1"/>
  <c r="B139" i="33" s="1"/>
  <c r="B140" i="33" s="1"/>
  <c r="B141" i="33" s="1"/>
  <c r="B142" i="33" s="1"/>
  <c r="B143" i="33" s="1"/>
  <c r="B144" i="33" s="1"/>
  <c r="B145" i="33" s="1"/>
  <c r="B146" i="33" s="1"/>
  <c r="B147" i="33" s="1"/>
  <c r="B148" i="33" s="1"/>
  <c r="B149" i="33" s="1"/>
  <c r="B150" i="33" s="1"/>
  <c r="B151" i="33" s="1"/>
  <c r="B152" i="33" s="1"/>
  <c r="B153" i="33" s="1"/>
  <c r="B154" i="33" s="1"/>
  <c r="B155" i="33" s="1"/>
  <c r="B156" i="33" s="1"/>
  <c r="B157" i="33" s="1"/>
  <c r="B158" i="33" s="1"/>
  <c r="B159" i="33" s="1"/>
  <c r="B160" i="33" s="1"/>
  <c r="B161" i="33" s="1"/>
  <c r="B162" i="33" s="1"/>
  <c r="B163" i="33" s="1"/>
  <c r="B164" i="33" s="1"/>
  <c r="B165" i="33" s="1"/>
  <c r="B166" i="33" s="1"/>
  <c r="B167" i="33" s="1"/>
  <c r="B168" i="33" s="1"/>
  <c r="B169" i="33" s="1"/>
  <c r="B170" i="33" s="1"/>
  <c r="B171" i="33" s="1"/>
  <c r="B172" i="33" s="1"/>
  <c r="B173" i="33" s="1"/>
  <c r="B174" i="33" s="1"/>
  <c r="B175" i="33" s="1"/>
  <c r="B176" i="33" s="1"/>
  <c r="B177" i="33" s="1"/>
  <c r="B178" i="33" s="1"/>
  <c r="B179" i="33" s="1"/>
  <c r="B180" i="33" s="1"/>
  <c r="B181" i="33" s="1"/>
  <c r="B182" i="33" s="1"/>
  <c r="B183" i="33" s="1"/>
  <c r="B184" i="33" s="1"/>
  <c r="B185" i="33" s="1"/>
  <c r="B186" i="33" s="1"/>
  <c r="B187" i="33" s="1"/>
  <c r="B188" i="33" s="1"/>
  <c r="B189" i="33" s="1"/>
  <c r="B190" i="33" s="1"/>
  <c r="B191" i="33" s="1"/>
  <c r="B192" i="33" s="1"/>
  <c r="B193" i="33" s="1"/>
  <c r="B194" i="33" s="1"/>
  <c r="B195" i="33" s="1"/>
  <c r="B196" i="3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Campbell, Laura de La Fuente Y</author>
  </authors>
  <commentList>
    <comment ref="L4" authorId="0" shapeId="0" xr:uid="{00000000-0006-0000-0100-000003000000}">
      <text>
        <r>
          <rPr>
            <b/>
            <sz val="9"/>
            <color indexed="81"/>
            <rFont val="Segoe UI"/>
            <family val="2"/>
          </rPr>
          <t>Inserir nº da Semana de acordo com cronograma seguindo o formato "Semana nn", sendo nn o número da semana</t>
        </r>
        <r>
          <rPr>
            <sz val="9"/>
            <color indexed="81"/>
            <rFont val="Segoe UI"/>
            <family val="2"/>
          </rPr>
          <t xml:space="preserve">
</t>
        </r>
      </text>
    </comment>
    <comment ref="O4" authorId="0" shapeId="0" xr:uid="{B2065A62-3B4A-49F5-871D-E8CB5E351AD2}">
      <text>
        <r>
          <rPr>
            <b/>
            <sz val="9"/>
            <color indexed="81"/>
            <rFont val="Segoe UI"/>
            <family val="2"/>
          </rPr>
          <t>Data início: Inserir data da segunda-feira correspondente com a semana atual no formato dd/mm/aaaa</t>
        </r>
      </text>
    </comment>
    <comment ref="X4" authorId="0" shapeId="0" xr:uid="{00000000-0006-0000-0100-000005000000}">
      <text>
        <r>
          <rPr>
            <b/>
            <sz val="9"/>
            <color indexed="81"/>
            <rFont val="Segoe UI"/>
            <family val="2"/>
          </rPr>
          <t>Inserir data da atualização da Programação Semanal no formato dd/mm/aaaa</t>
        </r>
        <r>
          <rPr>
            <sz val="9"/>
            <color indexed="81"/>
            <rFont val="Segoe UI"/>
            <family val="2"/>
          </rPr>
          <t xml:space="preserve">
</t>
        </r>
      </text>
    </comment>
  </commentList>
</comments>
</file>

<file path=xl/sharedStrings.xml><?xml version="1.0" encoding="utf-8"?>
<sst xmlns="http://schemas.openxmlformats.org/spreadsheetml/2006/main" count="192" uniqueCount="142">
  <si>
    <t>Contrato:</t>
  </si>
  <si>
    <t>Início vigência:</t>
  </si>
  <si>
    <t>Fim vigência:</t>
  </si>
  <si>
    <t>INÍCIO</t>
  </si>
  <si>
    <t>FIM</t>
  </si>
  <si>
    <t>SEMANA</t>
  </si>
  <si>
    <r>
      <rPr>
        <b/>
        <sz val="11"/>
        <color rgb="FFFF0000"/>
        <rFont val="Calibri"/>
        <family val="2"/>
        <scheme val="minor"/>
      </rPr>
      <t xml:space="preserve">Sugestão: </t>
    </r>
    <r>
      <rPr>
        <sz val="11"/>
        <color rgb="FFFF0000"/>
        <rFont val="Calibri"/>
        <family val="2"/>
        <scheme val="minor"/>
      </rPr>
      <t>Preencher com a data da segunda feira da semana da OS</t>
    </r>
  </si>
  <si>
    <t>PROGRAMAÇÃO SEMANAL DE SERVIÇOS</t>
  </si>
  <si>
    <r>
      <rPr>
        <b/>
        <sz val="18"/>
        <color rgb="FFFF0000"/>
        <rFont val="Calibri"/>
        <family val="2"/>
        <scheme val="minor"/>
      </rPr>
      <t xml:space="preserve">Orientação: </t>
    </r>
    <r>
      <rPr>
        <sz val="18"/>
        <color rgb="FFFF0000"/>
        <rFont val="Calibri"/>
        <family val="2"/>
        <scheme val="minor"/>
      </rPr>
      <t xml:space="preserve">preencher a coluna </t>
    </r>
    <r>
      <rPr>
        <b/>
        <sz val="18"/>
        <color rgb="FFFF0000"/>
        <rFont val="Calibri"/>
        <family val="2"/>
        <scheme val="minor"/>
      </rPr>
      <t>"Descrição da Causa"</t>
    </r>
    <r>
      <rPr>
        <sz val="18"/>
        <color rgb="FFFF0000"/>
        <rFont val="Calibri"/>
        <family val="2"/>
        <scheme val="minor"/>
      </rPr>
      <t xml:space="preserve"> em cada atividade, sempre que a aderência da mesma for menor que 90%. Complementar com OBS sempre que necessário</t>
    </r>
  </si>
  <si>
    <t>Obra</t>
  </si>
  <si>
    <t>Serviços de obras civis para reconstrução do vertedouro de fechamento na parte em gabião (aproximadamente 560,0m) que sofreu anomalias em 2021; reconformação dos taludes que sofreram processo erosivo e tratamento no pé do talude na margem oposta do desemboque do vertedouro, com fornecimento de materiais. O escopo é referente ao projeto de Descaracterização da barragem Doutor na Mina de Timbopeba, em Ouro Preto/MG</t>
  </si>
  <si>
    <t>Período</t>
  </si>
  <si>
    <t>Atualização</t>
  </si>
  <si>
    <t>Item</t>
  </si>
  <si>
    <t>ID Cronograma</t>
  </si>
  <si>
    <t>OS atividade</t>
  </si>
  <si>
    <t>Semana</t>
  </si>
  <si>
    <t>Atividade Detalhada</t>
  </si>
  <si>
    <t>Local</t>
  </si>
  <si>
    <t>Empresa</t>
  </si>
  <si>
    <t>Responsável</t>
  </si>
  <si>
    <t>Encarregado</t>
  </si>
  <si>
    <t>Quantidade Prevista</t>
  </si>
  <si>
    <t>Und.</t>
  </si>
  <si>
    <t>(P)rev.
(R)eal</t>
  </si>
  <si>
    <t>Programação Semanal</t>
  </si>
  <si>
    <t>Aderência</t>
  </si>
  <si>
    <t>Comentários</t>
  </si>
  <si>
    <t>Análise Indicadores</t>
  </si>
  <si>
    <t>PPC</t>
  </si>
  <si>
    <t>Qauntidade Prevista</t>
  </si>
  <si>
    <t>PPC Frente da Obra</t>
  </si>
  <si>
    <t>OK? (S/N)</t>
  </si>
  <si>
    <t>Descrição da Causa</t>
  </si>
  <si>
    <t>Observações</t>
  </si>
  <si>
    <t>2ª</t>
  </si>
  <si>
    <t>3ª</t>
  </si>
  <si>
    <t>4ª</t>
  </si>
  <si>
    <t>5ª</t>
  </si>
  <si>
    <t>6ª</t>
  </si>
  <si>
    <t>Sab</t>
  </si>
  <si>
    <t>Total Sem.</t>
  </si>
  <si>
    <t>Ind. Prod/Prog</t>
  </si>
  <si>
    <t>Ind. Prod</t>
  </si>
  <si>
    <t>1.1</t>
  </si>
  <si>
    <t>1.11</t>
  </si>
  <si>
    <t>P</t>
  </si>
  <si>
    <t>13 - Solicitação de modificações de serviços</t>
  </si>
  <si>
    <t>R</t>
  </si>
  <si>
    <t>1.2</t>
  </si>
  <si>
    <t>1.3</t>
  </si>
  <si>
    <t>Total 70uni</t>
  </si>
  <si>
    <t>1.4</t>
  </si>
  <si>
    <t>1.5</t>
  </si>
  <si>
    <t>1.6</t>
  </si>
  <si>
    <t>1.7</t>
  </si>
  <si>
    <t>1.8</t>
  </si>
  <si>
    <t>1.9</t>
  </si>
  <si>
    <t>1.10</t>
  </si>
  <si>
    <t>1.12</t>
  </si>
  <si>
    <t>1.13</t>
  </si>
  <si>
    <t>1.14</t>
  </si>
  <si>
    <t>1.15</t>
  </si>
  <si>
    <t>1.16</t>
  </si>
  <si>
    <t>1.17</t>
  </si>
  <si>
    <t>1.18</t>
  </si>
  <si>
    <t>1.19</t>
  </si>
  <si>
    <t>1.20</t>
  </si>
  <si>
    <t>1.21</t>
  </si>
  <si>
    <t>1.22</t>
  </si>
  <si>
    <t xml:space="preserve"> </t>
  </si>
  <si>
    <t>ÁREA</t>
  </si>
  <si>
    <t>CÓDIGO DA ÁREA</t>
  </si>
  <si>
    <t>CANTEIRO PRINCIPAL</t>
  </si>
  <si>
    <t>ESCRITÓRIO ADMINISTRATIVO</t>
  </si>
  <si>
    <t>ESCRITÓRIO DO CLIENTE</t>
  </si>
  <si>
    <t>ALOJAMENTO</t>
  </si>
  <si>
    <t>REFEITÓRIO</t>
  </si>
  <si>
    <t>CANTEIRO INDUSTRIAL</t>
  </si>
  <si>
    <t>2.1</t>
  </si>
  <si>
    <t>CENTRAL DE CONCRETO CCR</t>
  </si>
  <si>
    <t>2.2</t>
  </si>
  <si>
    <t>CENTRAL DE CONCRETO CCV</t>
  </si>
  <si>
    <t>2.3</t>
  </si>
  <si>
    <t>CENTRAL DE CARPINTARIA</t>
  </si>
  <si>
    <t>2.4</t>
  </si>
  <si>
    <t>CENTRAL DE ARMAÇÃO</t>
  </si>
  <si>
    <t>2.5</t>
  </si>
  <si>
    <t>CENTRAL DE PRÉ-MOLDADOS / EMBUTIDOS</t>
  </si>
  <si>
    <t>2.6</t>
  </si>
  <si>
    <t>OFICINA MECÂNICA E LUBRIFICAÇÃO</t>
  </si>
  <si>
    <t>2.7</t>
  </si>
  <si>
    <t>RAMPA DE LAVAGEM</t>
  </si>
  <si>
    <t>CANTEIRO AVANÇADO</t>
  </si>
  <si>
    <t>3.1</t>
  </si>
  <si>
    <t>ESCRITÓRIO DE CAMPO</t>
  </si>
  <si>
    <t>ESTRADAS E ACESSOS</t>
  </si>
  <si>
    <t>4.1</t>
  </si>
  <si>
    <t>ACESSOS MARGEM DIREITA</t>
  </si>
  <si>
    <t>4.2</t>
  </si>
  <si>
    <t>ACESSOS MARGEM ESQUERDA</t>
  </si>
  <si>
    <t>4.3</t>
  </si>
  <si>
    <t>FERROVIA</t>
  </si>
  <si>
    <t>SERVIÇOS PRELIMINARES</t>
  </si>
  <si>
    <t>5.1</t>
  </si>
  <si>
    <t>SONDAGEM</t>
  </si>
  <si>
    <t>5.2</t>
  </si>
  <si>
    <t>SUPRESSÃO VEGETAL</t>
  </si>
  <si>
    <t>5.3</t>
  </si>
  <si>
    <t>REDE DE ÁGUA E ESGOTO</t>
  </si>
  <si>
    <t>5.4</t>
  </si>
  <si>
    <t>REDE ELÉTRICA</t>
  </si>
  <si>
    <t>5.5</t>
  </si>
  <si>
    <t>REDE DE AR COMPRIMIDO</t>
  </si>
  <si>
    <t>5.6</t>
  </si>
  <si>
    <t>ATERRO SANITÁRIO</t>
  </si>
  <si>
    <t>OBRAS AUXILIARES</t>
  </si>
  <si>
    <t>6.1</t>
  </si>
  <si>
    <t>ESTOQUE DE AGREGADOS PRÓX. FERROVIA</t>
  </si>
  <si>
    <t>6.2</t>
  </si>
  <si>
    <t>ESTOQUE DE AGREGADOS NA CENTRAL DE CONCRETO</t>
  </si>
  <si>
    <t>6.3</t>
  </si>
  <si>
    <t>BOTA-FORA</t>
  </si>
  <si>
    <t>6.4</t>
  </si>
  <si>
    <t>EMBARQUE/DESEMBARQUE FERROVIA</t>
  </si>
  <si>
    <t>6.5</t>
  </si>
  <si>
    <t>EMBARQUE/DESEMBARQUE CANTEIRO</t>
  </si>
  <si>
    <t>DESVIO DO RIO</t>
  </si>
  <si>
    <t>7.1</t>
  </si>
  <si>
    <t>ENSECADEIRA A MONTANTE</t>
  </si>
  <si>
    <t>7.2</t>
  </si>
  <si>
    <t>ENSECADEIRA A JUSANTE</t>
  </si>
  <si>
    <t>7.3</t>
  </si>
  <si>
    <t>ESGOTAMENTO</t>
  </si>
  <si>
    <t>7.4</t>
  </si>
  <si>
    <t>GALERIA PRÉ-MOLDADO</t>
  </si>
  <si>
    <t>ESTRUTURA DE CONTENÇÃO</t>
  </si>
  <si>
    <t>8.1</t>
  </si>
  <si>
    <t>BARRAGEM DE CONTENÇÃO EM CCR</t>
  </si>
  <si>
    <t>EXTRAVASOR LATERAL</t>
  </si>
  <si>
    <t>9.1</t>
  </si>
  <si>
    <t>ESTRUTURA VERTENTE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</si>
</sst>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_ ;[Red]\-#,##0.0\ "/>
    <numFmt numFmtId="165" formatCode="00"/>
    <numFmt numFmtId="166" formatCode="d/m;@"/>
    <numFmt numFmtId="167" formatCode="0.0%"/>
    <numFmt numFmtId="169" formatCode="&quot;PPC = &quot;\ 0%"/>
    <numFmt numFmtId="170" formatCode="[$-F800]dddd\,\ mmmm\ dd\,\ yyyy"/>
  </numFmts>
  <fonts count="43" x14ac:knownFonts="1">
    <font>
      <sz val="11"/>
      <color theme="1"/>
      <name val="Calibri"/>
      <family val="2"/>
      <scheme val="minor"/>
    </font>
    <font>
      <sz val="11"/>
      <color indexed="8"/>
      <name val="Calibri"/>
      <family val="2"/>
    </font>
    <font>
      <sz val="11"/>
      <color theme="1"/>
      <name val="Calibri"/>
      <family val="2"/>
      <scheme val="minor"/>
    </font>
    <font>
      <u/>
      <sz val="11"/>
      <color theme="10"/>
      <name val="Calibri"/>
      <family val="2"/>
      <scheme val="minor"/>
    </font>
    <font>
      <u/>
      <sz val="11"/>
      <color theme="11"/>
      <name val="Calibri"/>
      <family val="2"/>
      <scheme val="minor"/>
    </font>
    <font>
      <b/>
      <sz val="11"/>
      <color theme="0"/>
      <name val="Calibri"/>
      <family val="2"/>
      <scheme val="minor"/>
    </font>
    <font>
      <b/>
      <sz val="11"/>
      <color theme="1"/>
      <name val="Calibri"/>
      <family val="2"/>
      <scheme val="minor"/>
    </font>
    <font>
      <sz val="10"/>
      <name val="Arial"/>
      <family val="2"/>
    </font>
    <font>
      <sz val="9"/>
      <color indexed="81"/>
      <name val="Segoe UI"/>
      <family val="2"/>
    </font>
    <font>
      <b/>
      <sz val="9"/>
      <color indexed="81"/>
      <name val="Segoe UI"/>
      <family val="2"/>
    </font>
    <font>
      <sz val="11"/>
      <color rgb="FFFF0000"/>
      <name val="Calibri"/>
      <family val="2"/>
      <scheme val="minor"/>
    </font>
    <font>
      <sz val="12"/>
      <color theme="1"/>
      <name val="Calibri"/>
      <family val="2"/>
      <scheme val="minor"/>
    </font>
    <font>
      <sz val="12"/>
      <color indexed="8"/>
      <name val="Calibri"/>
      <family val="2"/>
      <scheme val="minor"/>
    </font>
    <font>
      <b/>
      <sz val="12"/>
      <color rgb="FF008080"/>
      <name val="Calibri"/>
      <family val="2"/>
      <scheme val="minor"/>
    </font>
    <font>
      <sz val="14"/>
      <color theme="1"/>
      <name val="Calibri"/>
      <family val="2"/>
      <scheme val="minor"/>
    </font>
    <font>
      <sz val="14"/>
      <color rgb="FFFF0000"/>
      <name val="Calibri"/>
      <family val="2"/>
      <scheme val="minor"/>
    </font>
    <font>
      <b/>
      <sz val="14"/>
      <name val="Calibri"/>
      <family val="2"/>
      <scheme val="minor"/>
    </font>
    <font>
      <sz val="14"/>
      <name val="Calibri"/>
      <family val="2"/>
      <scheme val="minor"/>
    </font>
    <font>
      <sz val="10"/>
      <color indexed="8"/>
      <name val="Calibri"/>
      <family val="2"/>
      <scheme val="minor"/>
    </font>
    <font>
      <b/>
      <sz val="14"/>
      <color rgb="FF008080"/>
      <name val="Calibri"/>
      <family val="2"/>
      <scheme val="minor"/>
    </font>
    <font>
      <sz val="14"/>
      <color rgb="FF008080"/>
      <name val="Calibri"/>
      <family val="2"/>
      <scheme val="minor"/>
    </font>
    <font>
      <sz val="16"/>
      <name val="Calibri"/>
      <family val="2"/>
      <scheme val="minor"/>
    </font>
    <font>
      <b/>
      <sz val="16"/>
      <color indexed="8"/>
      <name val="Calibri"/>
      <family val="2"/>
      <scheme val="minor"/>
    </font>
    <font>
      <sz val="16"/>
      <color theme="1"/>
      <name val="Calibri"/>
      <family val="2"/>
      <scheme val="minor"/>
    </font>
    <font>
      <b/>
      <sz val="16"/>
      <color theme="1"/>
      <name val="Calibri"/>
      <family val="2"/>
      <scheme val="minor"/>
    </font>
    <font>
      <sz val="16"/>
      <color indexed="8"/>
      <name val="Calibri"/>
      <family val="2"/>
      <scheme val="minor"/>
    </font>
    <font>
      <b/>
      <sz val="16"/>
      <name val="Calibri"/>
      <family val="2"/>
      <scheme val="minor"/>
    </font>
    <font>
      <b/>
      <sz val="16"/>
      <color rgb="FF008080"/>
      <name val="Calibri"/>
      <family val="2"/>
      <scheme val="minor"/>
    </font>
    <font>
      <sz val="16"/>
      <color rgb="FF008080"/>
      <name val="Calibri"/>
      <family val="2"/>
      <scheme val="minor"/>
    </font>
    <font>
      <sz val="18"/>
      <color theme="1"/>
      <name val="Calibri"/>
      <family val="2"/>
      <scheme val="minor"/>
    </font>
    <font>
      <sz val="18"/>
      <color indexed="8"/>
      <name val="Calibri"/>
      <family val="2"/>
      <scheme val="minor"/>
    </font>
    <font>
      <b/>
      <sz val="18"/>
      <color rgb="FF008080"/>
      <name val="Calibri"/>
      <family val="2"/>
      <scheme val="minor"/>
    </font>
    <font>
      <sz val="18"/>
      <name val="Calibri"/>
      <family val="2"/>
      <scheme val="minor"/>
    </font>
    <font>
      <sz val="18"/>
      <color rgb="FFFF0000"/>
      <name val="Calibri"/>
      <family val="2"/>
      <scheme val="minor"/>
    </font>
    <font>
      <sz val="8"/>
      <name val="Calibri"/>
      <family val="2"/>
      <scheme val="minor"/>
    </font>
    <font>
      <b/>
      <sz val="28"/>
      <color rgb="FF008080"/>
      <name val="Calibri"/>
      <family val="2"/>
      <scheme val="minor"/>
    </font>
    <font>
      <b/>
      <sz val="36"/>
      <color rgb="FF008080"/>
      <name val="Calibri"/>
      <family val="2"/>
      <scheme val="minor"/>
    </font>
    <font>
      <b/>
      <sz val="11"/>
      <color rgb="FFFF0000"/>
      <name val="Calibri"/>
      <family val="2"/>
      <scheme val="minor"/>
    </font>
    <font>
      <b/>
      <sz val="18"/>
      <color rgb="FFFF0000"/>
      <name val="Calibri"/>
      <family val="2"/>
      <scheme val="minor"/>
    </font>
    <font>
      <b/>
      <sz val="26"/>
      <name val="Calibri"/>
      <family val="2"/>
      <scheme val="minor"/>
    </font>
    <font>
      <b/>
      <sz val="12"/>
      <color theme="0"/>
      <name val="Calibri"/>
      <family val="2"/>
      <scheme val="minor"/>
    </font>
    <font>
      <b/>
      <sz val="14"/>
      <color rgb="FF009999"/>
      <name val="Calibri"/>
      <family val="2"/>
      <scheme val="minor"/>
    </font>
    <font>
      <sz val="14"/>
      <name val="Calibri"/>
      <scheme val="minor"/>
    </font>
  </fonts>
  <fills count="10">
    <fill>
      <patternFill patternType="none"/>
    </fill>
    <fill>
      <patternFill patternType="gray125"/>
    </fill>
    <fill>
      <patternFill patternType="solid">
        <fgColor theme="0"/>
        <bgColor indexed="64"/>
      </patternFill>
    </fill>
    <fill>
      <patternFill patternType="solid">
        <fgColor rgb="FF00999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0" tint="-0.34998626667073579"/>
        <bgColor indexed="64"/>
      </patternFill>
    </fill>
    <fill>
      <patternFill patternType="solid">
        <fgColor theme="1" tint="0.499984740745262"/>
        <bgColor indexed="64"/>
      </patternFill>
    </fill>
  </fills>
  <borders count="5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medium">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style="medium">
        <color theme="0" tint="-0.249977111117893"/>
      </top>
      <bottom/>
      <diagonal/>
    </border>
    <border>
      <left style="thin">
        <color theme="0" tint="-0.249977111117893"/>
      </left>
      <right style="thin">
        <color theme="0" tint="-0.249977111117893"/>
      </right>
      <top/>
      <bottom style="medium">
        <color theme="0" tint="-0.249977111117893"/>
      </bottom>
      <diagonal/>
    </border>
    <border>
      <left style="medium">
        <color theme="0" tint="-0.249977111117893"/>
      </left>
      <right style="thin">
        <color theme="0"/>
      </right>
      <top style="medium">
        <color theme="0" tint="-0.249977111117893"/>
      </top>
      <bottom style="thin">
        <color theme="0"/>
      </bottom>
      <diagonal/>
    </border>
    <border>
      <left style="thin">
        <color theme="0"/>
      </left>
      <right style="thin">
        <color theme="0"/>
      </right>
      <top style="medium">
        <color theme="0" tint="-0.249977111117893"/>
      </top>
      <bottom style="thin">
        <color theme="0"/>
      </bottom>
      <diagonal/>
    </border>
    <border>
      <left style="thin">
        <color theme="0"/>
      </left>
      <right style="thin">
        <color theme="0"/>
      </right>
      <top style="medium">
        <color theme="0" tint="-0.249977111117893"/>
      </top>
      <bottom/>
      <diagonal/>
    </border>
    <border>
      <left/>
      <right/>
      <top style="medium">
        <color theme="0" tint="-0.249977111117893"/>
      </top>
      <bottom/>
      <diagonal/>
    </border>
    <border>
      <left style="thin">
        <color theme="0"/>
      </left>
      <right style="medium">
        <color theme="0" tint="-0.249977111117893"/>
      </right>
      <top style="medium">
        <color theme="0" tint="-0.249977111117893"/>
      </top>
      <bottom style="thin">
        <color theme="0"/>
      </bottom>
      <diagonal/>
    </border>
    <border>
      <left style="medium">
        <color theme="0" tint="-0.249977111117893"/>
      </left>
      <right style="thin">
        <color theme="0"/>
      </right>
      <top style="thin">
        <color theme="0"/>
      </top>
      <bottom style="thin">
        <color theme="0"/>
      </bottom>
      <diagonal/>
    </border>
    <border>
      <left style="thin">
        <color theme="0"/>
      </left>
      <right style="medium">
        <color theme="0" tint="-0.249977111117893"/>
      </right>
      <top style="thin">
        <color theme="0"/>
      </top>
      <bottom style="thin">
        <color theme="0"/>
      </bottom>
      <diagonal/>
    </border>
    <border>
      <left style="medium">
        <color theme="0" tint="-0.249977111117893"/>
      </left>
      <right style="thin">
        <color theme="0"/>
      </right>
      <top style="thin">
        <color theme="0"/>
      </top>
      <bottom style="medium">
        <color theme="0" tint="-0.249977111117893"/>
      </bottom>
      <diagonal/>
    </border>
    <border>
      <left style="thin">
        <color theme="0"/>
      </left>
      <right style="thin">
        <color theme="0"/>
      </right>
      <top style="thin">
        <color theme="0"/>
      </top>
      <bottom style="medium">
        <color theme="0" tint="-0.249977111117893"/>
      </bottom>
      <diagonal/>
    </border>
    <border>
      <left style="thin">
        <color theme="0"/>
      </left>
      <right style="thin">
        <color theme="0"/>
      </right>
      <top/>
      <bottom style="medium">
        <color theme="0" tint="-0.249977111117893"/>
      </bottom>
      <diagonal/>
    </border>
    <border>
      <left/>
      <right/>
      <top/>
      <bottom style="medium">
        <color theme="0" tint="-0.249977111117893"/>
      </bottom>
      <diagonal/>
    </border>
    <border>
      <left style="thin">
        <color theme="0"/>
      </left>
      <right style="medium">
        <color theme="0" tint="-0.249977111117893"/>
      </right>
      <top style="thin">
        <color theme="0"/>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style="thin">
        <color theme="0" tint="-0.249977111117893"/>
      </right>
      <top style="medium">
        <color theme="0" tint="-0.249977111117893"/>
      </top>
      <bottom style="medium">
        <color theme="0" tint="-0.249977111117893"/>
      </bottom>
      <diagonal/>
    </border>
    <border>
      <left style="thin">
        <color theme="0" tint="-0.249977111117893"/>
      </left>
      <right style="thin">
        <color theme="0" tint="-0.249977111117893"/>
      </right>
      <top style="medium">
        <color theme="0" tint="-0.249977111117893"/>
      </top>
      <bottom style="medium">
        <color theme="0" tint="-0.249977111117893"/>
      </bottom>
      <diagonal/>
    </border>
    <border>
      <left style="thin">
        <color theme="0" tint="-0.249977111117893"/>
      </left>
      <right/>
      <top style="medium">
        <color theme="0" tint="-0.249977111117893"/>
      </top>
      <bottom style="medium">
        <color theme="0" tint="-0.249977111117893"/>
      </bottom>
      <diagonal/>
    </border>
    <border>
      <left/>
      <right style="thin">
        <color theme="0" tint="-0.249977111117893"/>
      </right>
      <top style="medium">
        <color theme="0" tint="-0.249977111117893"/>
      </top>
      <bottom style="medium">
        <color theme="0" tint="-0.249977111117893"/>
      </bottom>
      <diagonal/>
    </border>
    <border>
      <left style="thin">
        <color theme="0" tint="-0.249977111117893"/>
      </left>
      <right style="medium">
        <color theme="0" tint="-0.249977111117893"/>
      </right>
      <top style="medium">
        <color theme="0" tint="-0.249977111117893"/>
      </top>
      <bottom style="medium">
        <color theme="0" tint="-0.249977111117893"/>
      </bottom>
      <diagonal/>
    </border>
    <border>
      <left style="thin">
        <color theme="0" tint="-0.249977111117893"/>
      </left>
      <right style="medium">
        <color theme="0" tint="-0.249977111117893"/>
      </right>
      <top style="medium">
        <color theme="0" tint="-0.249977111117893"/>
      </top>
      <bottom/>
      <diagonal/>
    </border>
    <border>
      <left style="thin">
        <color theme="0" tint="-0.249977111117893"/>
      </left>
      <right style="medium">
        <color theme="0" tint="-0.249977111117893"/>
      </right>
      <top/>
      <bottom style="medium">
        <color theme="0" tint="-0.249977111117893"/>
      </bottom>
      <diagonal/>
    </border>
    <border>
      <left style="thin">
        <color theme="0"/>
      </left>
      <right/>
      <top style="medium">
        <color theme="0" tint="-0.249977111117893"/>
      </top>
      <bottom/>
      <diagonal/>
    </border>
    <border>
      <left/>
      <right style="thin">
        <color theme="0"/>
      </right>
      <top style="medium">
        <color theme="0" tint="-0.249977111117893"/>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medium">
        <color theme="0" tint="-0.249977111117893"/>
      </left>
      <right style="thin">
        <color theme="0" tint="-0.249977111117893"/>
      </right>
      <top style="medium">
        <color theme="0" tint="-0.249977111117893"/>
      </top>
      <bottom/>
      <diagonal/>
    </border>
    <border>
      <left style="medium">
        <color theme="0" tint="-0.249977111117893"/>
      </left>
      <right style="thin">
        <color theme="0" tint="-0.249977111117893"/>
      </right>
      <top/>
      <bottom style="medium">
        <color theme="0" tint="-0.249977111117893"/>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theme="0"/>
      </left>
      <right/>
      <top/>
      <bottom style="medium">
        <color theme="0" tint="-0.249977111117893"/>
      </bottom>
      <diagonal/>
    </border>
    <border>
      <left/>
      <right style="thin">
        <color theme="0"/>
      </right>
      <top/>
      <bottom style="medium">
        <color theme="0" tint="-0.249977111117893"/>
      </bottom>
      <diagonal/>
    </border>
  </borders>
  <cellStyleXfs count="209">
    <xf numFmtId="0" fontId="0" fillId="0" borderId="0"/>
    <xf numFmtId="9" fontId="1" fillId="0" borderId="0" applyFont="0" applyFill="0" applyBorder="0" applyAlignment="0" applyProtection="0"/>
    <xf numFmtId="9"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9" fontId="2" fillId="0" borderId="0" applyFont="0" applyFill="0" applyBorder="0" applyAlignment="0" applyProtection="0"/>
    <xf numFmtId="0" fontId="7"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7" fillId="0" borderId="0"/>
    <xf numFmtId="0" fontId="2" fillId="0" borderId="0"/>
  </cellStyleXfs>
  <cellXfs count="162">
    <xf numFmtId="0" fontId="0" fillId="0" borderId="0" xfId="0"/>
    <xf numFmtId="0" fontId="6" fillId="2" borderId="0" xfId="0" applyFont="1" applyFill="1" applyAlignment="1">
      <alignment horizontal="right"/>
    </xf>
    <xf numFmtId="0" fontId="0" fillId="2" borderId="0" xfId="0" applyFill="1" applyAlignment="1">
      <alignment horizontal="center"/>
    </xf>
    <xf numFmtId="0" fontId="0" fillId="2" borderId="0" xfId="0" applyFill="1"/>
    <xf numFmtId="14" fontId="0" fillId="2" borderId="0" xfId="0" applyNumberFormat="1" applyFill="1" applyAlignment="1">
      <alignment horizontal="center"/>
    </xf>
    <xf numFmtId="0" fontId="5" fillId="3" borderId="1" xfId="0" applyFont="1" applyFill="1" applyBorder="1"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horizontal="center" vertical="center"/>
    </xf>
    <xf numFmtId="0" fontId="11" fillId="0" borderId="0" xfId="0" applyFont="1" applyAlignment="1">
      <alignment horizontal="center" vertical="center"/>
    </xf>
    <xf numFmtId="0" fontId="11" fillId="0" borderId="0" xfId="0" applyFont="1" applyAlignment="1">
      <alignment vertical="center"/>
    </xf>
    <xf numFmtId="0" fontId="12" fillId="0" borderId="0" xfId="0" applyFont="1" applyAlignment="1">
      <alignment horizontal="center" vertical="center"/>
    </xf>
    <xf numFmtId="0" fontId="13" fillId="9" borderId="0" xfId="0" applyFont="1" applyFill="1" applyAlignment="1">
      <alignment horizontal="center" vertical="center" wrapText="1"/>
    </xf>
    <xf numFmtId="0" fontId="13" fillId="9" borderId="0" xfId="0" applyFont="1" applyFill="1" applyAlignment="1">
      <alignment horizontal="center" vertical="center" textRotation="90" wrapText="1"/>
    </xf>
    <xf numFmtId="0" fontId="13" fillId="9" borderId="0" xfId="0" applyFont="1" applyFill="1" applyAlignment="1">
      <alignment horizontal="center" vertical="center"/>
    </xf>
    <xf numFmtId="0" fontId="13" fillId="9" borderId="9" xfId="0" applyFont="1" applyFill="1" applyBorder="1" applyAlignment="1">
      <alignment horizontal="center" vertical="center" wrapText="1"/>
    </xf>
    <xf numFmtId="0" fontId="11" fillId="9" borderId="9" xfId="0" applyFont="1" applyFill="1" applyBorder="1" applyAlignment="1">
      <alignment horizontal="center" vertical="center"/>
    </xf>
    <xf numFmtId="0" fontId="14" fillId="0" borderId="0" xfId="0" applyFont="1" applyAlignment="1">
      <alignment vertical="center"/>
    </xf>
    <xf numFmtId="0" fontId="16" fillId="9" borderId="0" xfId="0" applyFont="1" applyFill="1" applyAlignment="1">
      <alignment horizontal="center" vertical="center" wrapText="1"/>
    </xf>
    <xf numFmtId="0" fontId="16" fillId="8" borderId="0" xfId="0" applyFont="1" applyFill="1" applyAlignment="1">
      <alignment horizontal="center" vertical="center" wrapText="1"/>
    </xf>
    <xf numFmtId="0" fontId="16" fillId="4" borderId="0" xfId="0" applyFont="1" applyFill="1" applyAlignment="1">
      <alignment horizontal="center" vertical="center" wrapText="1"/>
    </xf>
    <xf numFmtId="0" fontId="16" fillId="2" borderId="11" xfId="0" applyFont="1" applyFill="1" applyBorder="1" applyAlignment="1">
      <alignment horizontal="center" vertical="center" wrapText="1"/>
    </xf>
    <xf numFmtId="164" fontId="17" fillId="2" borderId="11" xfId="1" applyNumberFormat="1" applyFont="1" applyFill="1" applyBorder="1" applyAlignment="1">
      <alignment horizontal="center" vertical="center" wrapText="1"/>
    </xf>
    <xf numFmtId="0" fontId="17" fillId="0" borderId="8" xfId="0" applyFont="1" applyBorder="1" applyAlignment="1">
      <alignment vertical="center"/>
    </xf>
    <xf numFmtId="0" fontId="17" fillId="0" borderId="0" xfId="0" applyFont="1" applyAlignment="1">
      <alignment vertical="center"/>
    </xf>
    <xf numFmtId="0" fontId="16" fillId="2" borderId="13" xfId="0" applyFont="1" applyFill="1" applyBorder="1" applyAlignment="1">
      <alignment horizontal="center" vertical="center" wrapText="1"/>
    </xf>
    <xf numFmtId="164" fontId="17" fillId="2" borderId="13" xfId="1" applyNumberFormat="1" applyFont="1" applyFill="1" applyBorder="1" applyAlignment="1">
      <alignment horizontal="center" vertical="center" wrapText="1"/>
    </xf>
    <xf numFmtId="0" fontId="0" fillId="0" borderId="0" xfId="0" applyAlignment="1">
      <alignment vertical="center"/>
    </xf>
    <xf numFmtId="0" fontId="18" fillId="0" borderId="0" xfId="0" applyFont="1" applyAlignment="1">
      <alignment horizontal="center" vertical="center"/>
    </xf>
    <xf numFmtId="0" fontId="20" fillId="0" borderId="18" xfId="0" applyFont="1" applyBorder="1" applyAlignment="1">
      <alignment vertical="center"/>
    </xf>
    <xf numFmtId="0" fontId="20" fillId="0" borderId="20" xfId="0" applyFont="1" applyBorder="1" applyAlignment="1">
      <alignment vertical="center"/>
    </xf>
    <xf numFmtId="0" fontId="20" fillId="0" borderId="7" xfId="0" applyFont="1" applyBorder="1" applyAlignment="1">
      <alignment vertical="center"/>
    </xf>
    <xf numFmtId="0" fontId="20" fillId="0" borderId="0" xfId="0" applyFont="1" applyAlignment="1">
      <alignment vertical="center"/>
    </xf>
    <xf numFmtId="166" fontId="19" fillId="6" borderId="7" xfId="0" applyNumberFormat="1" applyFont="1" applyFill="1" applyBorder="1" applyAlignment="1">
      <alignment horizontal="center" vertical="center"/>
    </xf>
    <xf numFmtId="166" fontId="19" fillId="6" borderId="7" xfId="0" applyNumberFormat="1" applyFont="1" applyFill="1" applyBorder="1" applyAlignment="1">
      <alignment horizontal="center" vertical="center" wrapText="1"/>
    </xf>
    <xf numFmtId="0" fontId="19" fillId="6" borderId="25" xfId="0" applyFont="1" applyFill="1" applyBorder="1" applyAlignment="1">
      <alignment horizontal="center" vertical="center"/>
    </xf>
    <xf numFmtId="0" fontId="20" fillId="0" borderId="25" xfId="0" applyFont="1" applyBorder="1" applyAlignment="1">
      <alignment horizontal="center" vertical="center"/>
    </xf>
    <xf numFmtId="0" fontId="20" fillId="0" borderId="27" xfId="0" applyFont="1" applyBorder="1" applyAlignment="1">
      <alignment vertical="center"/>
    </xf>
    <xf numFmtId="0" fontId="23" fillId="0" borderId="0" xfId="0" applyFont="1" applyAlignment="1">
      <alignment vertical="center"/>
    </xf>
    <xf numFmtId="0" fontId="24" fillId="0" borderId="0" xfId="0" applyFont="1" applyAlignment="1">
      <alignment horizontal="center" vertical="center"/>
    </xf>
    <xf numFmtId="10" fontId="22" fillId="0" borderId="0" xfId="1" applyNumberFormat="1" applyFont="1" applyFill="1" applyBorder="1" applyAlignment="1">
      <alignment vertical="center"/>
    </xf>
    <xf numFmtId="0" fontId="23" fillId="0" borderId="0" xfId="0" applyFont="1" applyAlignment="1">
      <alignment horizontal="center" vertical="center"/>
    </xf>
    <xf numFmtId="10" fontId="25" fillId="0" borderId="0" xfId="1" applyNumberFormat="1" applyFont="1" applyFill="1" applyBorder="1" applyAlignment="1">
      <alignment horizontal="center" vertical="center"/>
    </xf>
    <xf numFmtId="169" fontId="26" fillId="7" borderId="0" xfId="0" applyNumberFormat="1" applyFont="1" applyFill="1" applyAlignment="1" applyProtection="1">
      <alignment vertical="center"/>
      <protection hidden="1"/>
    </xf>
    <xf numFmtId="0" fontId="14" fillId="0" borderId="0" xfId="0" applyFont="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0" fillId="6" borderId="0" xfId="0" applyFill="1" applyAlignment="1">
      <alignment horizontal="center"/>
    </xf>
    <xf numFmtId="14" fontId="0" fillId="6" borderId="0" xfId="0" applyNumberFormat="1" applyFill="1" applyAlignment="1">
      <alignment horizontal="center"/>
    </xf>
    <xf numFmtId="14" fontId="0" fillId="2" borderId="1" xfId="0" applyNumberFormat="1"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applyFill="1" applyBorder="1" applyAlignment="1">
      <alignment horizontal="center" vertical="center"/>
    </xf>
    <xf numFmtId="0" fontId="10" fillId="6" borderId="0" xfId="0" applyFont="1" applyFill="1" applyAlignment="1">
      <alignment wrapText="1"/>
    </xf>
    <xf numFmtId="169" fontId="26" fillId="7" borderId="0" xfId="0" applyNumberFormat="1" applyFont="1" applyFill="1" applyAlignment="1" applyProtection="1">
      <alignment horizontal="center" vertical="center"/>
      <protection hidden="1"/>
    </xf>
    <xf numFmtId="0" fontId="0" fillId="0" borderId="0" xfId="0" applyAlignment="1">
      <alignment horizontal="center" vertical="center"/>
    </xf>
    <xf numFmtId="0" fontId="36" fillId="9" borderId="9" xfId="0" applyFont="1" applyFill="1" applyBorder="1" applyAlignment="1">
      <alignment horizontal="center" vertical="center" wrapText="1"/>
    </xf>
    <xf numFmtId="0" fontId="40" fillId="9" borderId="0" xfId="0" applyFont="1" applyFill="1" applyAlignment="1">
      <alignment horizontal="left" vertical="center" wrapText="1"/>
    </xf>
    <xf numFmtId="164" fontId="16" fillId="0" borderId="11" xfId="1" applyNumberFormat="1" applyFont="1" applyFill="1" applyBorder="1" applyAlignment="1">
      <alignment horizontal="center" vertical="center" wrapText="1"/>
    </xf>
    <xf numFmtId="0" fontId="31" fillId="6" borderId="19" xfId="0" applyFont="1" applyFill="1" applyBorder="1" applyAlignment="1">
      <alignment vertical="center" wrapText="1"/>
    </xf>
    <xf numFmtId="0" fontId="31" fillId="6" borderId="26" xfId="0" applyFont="1" applyFill="1" applyBorder="1" applyAlignment="1">
      <alignment vertical="center" wrapText="1"/>
    </xf>
    <xf numFmtId="9" fontId="15" fillId="0" borderId="0" xfId="0" applyNumberFormat="1" applyFont="1" applyAlignment="1">
      <alignment horizontal="center" vertical="center" wrapText="1"/>
    </xf>
    <xf numFmtId="0" fontId="19" fillId="6" borderId="25" xfId="0" applyFont="1" applyFill="1" applyBorder="1" applyAlignment="1">
      <alignment horizontal="center" vertical="center" wrapText="1"/>
    </xf>
    <xf numFmtId="0" fontId="17" fillId="2" borderId="37" xfId="0" applyFont="1" applyFill="1" applyBorder="1" applyAlignment="1">
      <alignment horizontal="left" vertical="center" wrapText="1"/>
    </xf>
    <xf numFmtId="167" fontId="17" fillId="2" borderId="15" xfId="199" applyNumberFormat="1" applyFont="1" applyFill="1" applyBorder="1" applyAlignment="1">
      <alignment horizontal="center" vertical="center"/>
    </xf>
    <xf numFmtId="0" fontId="17" fillId="2" borderId="15" xfId="199" applyNumberFormat="1" applyFont="1" applyFill="1" applyBorder="1" applyAlignment="1">
      <alignment horizontal="center" vertical="center"/>
    </xf>
    <xf numFmtId="0" fontId="17" fillId="2" borderId="15" xfId="0" applyFont="1" applyFill="1" applyBorder="1" applyAlignment="1">
      <alignment horizontal="center" vertical="center"/>
    </xf>
    <xf numFmtId="0" fontId="17" fillId="2" borderId="0" xfId="0" applyFont="1" applyFill="1" applyAlignment="1">
      <alignment horizontal="center" vertical="center" wrapText="1"/>
    </xf>
    <xf numFmtId="0" fontId="17" fillId="2" borderId="0" xfId="0" applyFont="1" applyFill="1" applyAlignment="1">
      <alignment horizontal="center" vertical="center"/>
    </xf>
    <xf numFmtId="167" fontId="17" fillId="2" borderId="0" xfId="199" applyNumberFormat="1" applyFont="1" applyFill="1" applyBorder="1" applyAlignment="1">
      <alignment horizontal="center" vertical="center"/>
    </xf>
    <xf numFmtId="0" fontId="17" fillId="2" borderId="0" xfId="199" applyNumberFormat="1" applyFont="1" applyFill="1" applyBorder="1" applyAlignment="1">
      <alignment horizontal="center" vertical="center"/>
    </xf>
    <xf numFmtId="0" fontId="17" fillId="2" borderId="0" xfId="0" applyFont="1" applyFill="1" applyAlignment="1">
      <alignment horizontal="left" vertical="center" wrapText="1"/>
    </xf>
    <xf numFmtId="170" fontId="18" fillId="0" borderId="0" xfId="0" applyNumberFormat="1" applyFont="1" applyAlignment="1">
      <alignment horizontal="center" vertical="center"/>
    </xf>
    <xf numFmtId="9" fontId="29" fillId="0" borderId="0" xfId="0" applyNumberFormat="1" applyFont="1" applyAlignment="1">
      <alignment horizontal="center" vertical="center"/>
    </xf>
    <xf numFmtId="164" fontId="18" fillId="0" borderId="0" xfId="0" applyNumberFormat="1" applyFont="1" applyAlignment="1">
      <alignment horizontal="center" vertical="center"/>
    </xf>
    <xf numFmtId="0" fontId="17" fillId="2" borderId="15" xfId="0" applyFont="1" applyFill="1" applyBorder="1" applyAlignment="1">
      <alignment horizontal="center" vertical="center" wrapText="1"/>
    </xf>
    <xf numFmtId="0" fontId="17" fillId="2" borderId="16" xfId="0" applyFont="1" applyFill="1" applyBorder="1" applyAlignment="1">
      <alignment horizontal="center" vertical="center" wrapText="1"/>
    </xf>
    <xf numFmtId="167" fontId="17" fillId="2" borderId="16" xfId="199" applyNumberFormat="1" applyFont="1" applyFill="1" applyBorder="1" applyAlignment="1">
      <alignment horizontal="center" vertical="center"/>
    </xf>
    <xf numFmtId="0" fontId="17" fillId="2" borderId="10" xfId="0" applyFont="1" applyFill="1" applyBorder="1" applyAlignment="1">
      <alignment horizontal="left" vertical="center" wrapText="1"/>
    </xf>
    <xf numFmtId="0" fontId="17" fillId="2" borderId="9" xfId="0" applyFont="1" applyFill="1" applyBorder="1" applyAlignment="1">
      <alignment horizontal="left" vertical="center" wrapText="1"/>
    </xf>
    <xf numFmtId="0" fontId="17" fillId="2" borderId="38" xfId="0" applyFont="1" applyFill="1" applyBorder="1" applyAlignment="1">
      <alignment horizontal="left" vertical="center" wrapText="1"/>
    </xf>
    <xf numFmtId="0" fontId="17" fillId="2" borderId="16" xfId="199" applyNumberFormat="1" applyFont="1" applyFill="1" applyBorder="1" applyAlignment="1">
      <alignment horizontal="center" vertical="center"/>
    </xf>
    <xf numFmtId="0" fontId="17" fillId="2" borderId="16" xfId="0" applyFont="1" applyFill="1" applyBorder="1" applyAlignment="1">
      <alignment horizontal="center" vertical="center"/>
    </xf>
    <xf numFmtId="0" fontId="17" fillId="2" borderId="15" xfId="0" applyFont="1" applyFill="1" applyBorder="1" applyAlignment="1">
      <alignment horizontal="left" vertical="center" wrapText="1"/>
    </xf>
    <xf numFmtId="0" fontId="17" fillId="2" borderId="16" xfId="0" applyFont="1" applyFill="1" applyBorder="1" applyAlignment="1">
      <alignment horizontal="left" vertical="center" wrapText="1"/>
    </xf>
    <xf numFmtId="0" fontId="11" fillId="0" borderId="0" xfId="0" applyFont="1" applyAlignment="1">
      <alignment horizontal="center" vertical="center" wrapText="1"/>
    </xf>
    <xf numFmtId="0" fontId="19" fillId="6" borderId="21" xfId="0" applyFont="1" applyFill="1" applyBorder="1" applyAlignment="1">
      <alignment vertical="center" wrapText="1"/>
    </xf>
    <xf numFmtId="0" fontId="19" fillId="6" borderId="23" xfId="0" applyFont="1" applyFill="1" applyBorder="1" applyAlignment="1">
      <alignment vertical="center" wrapText="1"/>
    </xf>
    <xf numFmtId="164" fontId="42" fillId="2" borderId="11" xfId="1" applyNumberFormat="1" applyFont="1" applyFill="1" applyBorder="1" applyAlignment="1">
      <alignment horizontal="center" vertical="center" wrapText="1"/>
    </xf>
    <xf numFmtId="0" fontId="17" fillId="2" borderId="15" xfId="0" applyFont="1" applyFill="1" applyBorder="1" applyAlignment="1">
      <alignment horizontal="left" vertical="center" wrapText="1"/>
    </xf>
    <xf numFmtId="0" fontId="17" fillId="2" borderId="16" xfId="0" applyFont="1" applyFill="1" applyBorder="1" applyAlignment="1">
      <alignment horizontal="left" vertical="center" wrapText="1"/>
    </xf>
    <xf numFmtId="0" fontId="17" fillId="2" borderId="15" xfId="0" applyFont="1" applyFill="1" applyBorder="1" applyAlignment="1">
      <alignment horizontal="center" vertical="center" wrapText="1"/>
    </xf>
    <xf numFmtId="0" fontId="17" fillId="2" borderId="16" xfId="0" applyFont="1" applyFill="1" applyBorder="1" applyAlignment="1">
      <alignment horizontal="center" vertical="center" wrapText="1"/>
    </xf>
    <xf numFmtId="0" fontId="19" fillId="6" borderId="39" xfId="0" applyFont="1" applyFill="1" applyBorder="1" applyAlignment="1">
      <alignment horizontal="center" vertical="center" textRotation="90" wrapText="1"/>
    </xf>
    <xf numFmtId="0" fontId="19" fillId="6" borderId="40" xfId="0" applyFont="1" applyFill="1" applyBorder="1" applyAlignment="1">
      <alignment horizontal="center" vertical="center" textRotation="90" wrapText="1"/>
    </xf>
    <xf numFmtId="0" fontId="19" fillId="6" borderId="47" xfId="0" applyFont="1" applyFill="1" applyBorder="1" applyAlignment="1">
      <alignment horizontal="center" vertical="center" textRotation="90" wrapText="1"/>
    </xf>
    <xf numFmtId="0" fontId="19" fillId="6" borderId="48" xfId="0" applyFont="1" applyFill="1" applyBorder="1" applyAlignment="1">
      <alignment horizontal="center" vertical="center" textRotation="90" wrapText="1"/>
    </xf>
    <xf numFmtId="0" fontId="19" fillId="6" borderId="49" xfId="0" applyFont="1" applyFill="1" applyBorder="1" applyAlignment="1">
      <alignment horizontal="center" vertical="center" textRotation="90" wrapText="1"/>
    </xf>
    <xf numFmtId="0" fontId="19" fillId="6" borderId="50" xfId="0" applyFont="1" applyFill="1" applyBorder="1" applyAlignment="1">
      <alignment horizontal="center" vertical="center" textRotation="90" wrapText="1"/>
    </xf>
    <xf numFmtId="167" fontId="17" fillId="2" borderId="15" xfId="199" applyNumberFormat="1" applyFont="1" applyFill="1" applyBorder="1" applyAlignment="1">
      <alignment horizontal="center" vertical="center"/>
    </xf>
    <xf numFmtId="167" fontId="17" fillId="2" borderId="16" xfId="199" applyNumberFormat="1" applyFont="1" applyFill="1" applyBorder="1" applyAlignment="1">
      <alignment horizontal="center" vertical="center"/>
    </xf>
    <xf numFmtId="9" fontId="32" fillId="8" borderId="15" xfId="199" applyFont="1" applyFill="1" applyBorder="1" applyAlignment="1">
      <alignment horizontal="center" vertical="center" wrapText="1"/>
    </xf>
    <xf numFmtId="9" fontId="32" fillId="8" borderId="16" xfId="199" applyFont="1" applyFill="1" applyBorder="1" applyAlignment="1">
      <alignment horizontal="center" vertical="center" wrapText="1"/>
    </xf>
    <xf numFmtId="0" fontId="17" fillId="2" borderId="10" xfId="0" applyFont="1" applyFill="1" applyBorder="1" applyAlignment="1">
      <alignment horizontal="left" vertical="center" wrapText="1"/>
    </xf>
    <xf numFmtId="0" fontId="17" fillId="2" borderId="9" xfId="0" applyFont="1" applyFill="1" applyBorder="1" applyAlignment="1">
      <alignment horizontal="left" vertical="center" wrapText="1"/>
    </xf>
    <xf numFmtId="0" fontId="17" fillId="2" borderId="15" xfId="0" applyFont="1" applyFill="1" applyBorder="1" applyAlignment="1">
      <alignment horizontal="center" vertical="center"/>
    </xf>
    <xf numFmtId="0" fontId="17" fillId="2" borderId="16" xfId="0" applyFont="1" applyFill="1" applyBorder="1" applyAlignment="1">
      <alignment horizontal="center" vertical="center"/>
    </xf>
    <xf numFmtId="0" fontId="17" fillId="2" borderId="15" xfId="0" applyFont="1" applyFill="1" applyBorder="1" applyAlignment="1">
      <alignment horizontal="left" vertical="center" wrapText="1" indent="4"/>
    </xf>
    <xf numFmtId="0" fontId="17" fillId="2" borderId="16" xfId="0" applyFont="1" applyFill="1" applyBorder="1" applyAlignment="1">
      <alignment horizontal="left" vertical="center" wrapText="1" indent="4"/>
    </xf>
    <xf numFmtId="0" fontId="17" fillId="2" borderId="15" xfId="199" applyNumberFormat="1" applyFont="1" applyFill="1" applyBorder="1" applyAlignment="1">
      <alignment horizontal="center" vertical="center"/>
    </xf>
    <xf numFmtId="0" fontId="17" fillId="2" borderId="16" xfId="199" applyNumberFormat="1" applyFont="1" applyFill="1" applyBorder="1" applyAlignment="1">
      <alignment horizontal="center" vertical="center"/>
    </xf>
    <xf numFmtId="0" fontId="17" fillId="2" borderId="37" xfId="0" applyFont="1" applyFill="1" applyBorder="1" applyAlignment="1">
      <alignment horizontal="left" vertical="center" wrapText="1"/>
    </xf>
    <xf numFmtId="0" fontId="17" fillId="2" borderId="38" xfId="0" applyFont="1" applyFill="1" applyBorder="1" applyAlignment="1">
      <alignment horizontal="left" vertical="center" wrapText="1"/>
    </xf>
    <xf numFmtId="0" fontId="39" fillId="2" borderId="10" xfId="0" applyFont="1" applyFill="1" applyBorder="1" applyAlignment="1">
      <alignment horizontal="center" vertical="center" wrapText="1"/>
    </xf>
    <xf numFmtId="0" fontId="39" fillId="2" borderId="9" xfId="0" applyFont="1" applyFill="1" applyBorder="1" applyAlignment="1">
      <alignment horizontal="center" vertical="center" wrapText="1"/>
    </xf>
    <xf numFmtId="165" fontId="17" fillId="8" borderId="44" xfId="0" applyNumberFormat="1" applyFont="1" applyFill="1" applyBorder="1" applyAlignment="1">
      <alignment horizontal="center" vertical="center"/>
    </xf>
    <xf numFmtId="165" fontId="17" fillId="8" borderId="45" xfId="0" applyNumberFormat="1" applyFont="1" applyFill="1" applyBorder="1" applyAlignment="1">
      <alignment horizontal="center" vertical="center"/>
    </xf>
    <xf numFmtId="0" fontId="17" fillId="2" borderId="15" xfId="0" applyFont="1" applyFill="1" applyBorder="1" applyAlignment="1">
      <alignment vertical="center" wrapText="1"/>
    </xf>
    <xf numFmtId="0" fontId="17" fillId="2" borderId="16" xfId="0" applyFont="1" applyFill="1" applyBorder="1" applyAlignment="1">
      <alignment vertical="center" wrapText="1"/>
    </xf>
    <xf numFmtId="0" fontId="19" fillId="6" borderId="7" xfId="0" applyFont="1" applyFill="1" applyBorder="1" applyAlignment="1">
      <alignment horizontal="center" vertical="center" wrapText="1"/>
    </xf>
    <xf numFmtId="0" fontId="19" fillId="6" borderId="25" xfId="0" applyFont="1" applyFill="1" applyBorder="1" applyAlignment="1">
      <alignment horizontal="center" vertical="center" wrapText="1"/>
    </xf>
    <xf numFmtId="0" fontId="19" fillId="6" borderId="23" xfId="0" applyFont="1" applyFill="1" applyBorder="1" applyAlignment="1">
      <alignment horizontal="center" vertical="center" wrapText="1"/>
    </xf>
    <xf numFmtId="0" fontId="19" fillId="6" borderId="28" xfId="0" applyFont="1" applyFill="1" applyBorder="1" applyAlignment="1">
      <alignment horizontal="center" vertical="center" wrapText="1"/>
    </xf>
    <xf numFmtId="0" fontId="39" fillId="2" borderId="15" xfId="0" applyFont="1" applyFill="1" applyBorder="1" applyAlignment="1">
      <alignment horizontal="center" vertical="center" wrapText="1"/>
    </xf>
    <xf numFmtId="0" fontId="19" fillId="6" borderId="39" xfId="0" applyFont="1" applyFill="1" applyBorder="1" applyAlignment="1">
      <alignment horizontal="center" vertical="center" wrapText="1"/>
    </xf>
    <xf numFmtId="0" fontId="19" fillId="6" borderId="20" xfId="0" applyFont="1" applyFill="1" applyBorder="1" applyAlignment="1">
      <alignment horizontal="center" vertical="center" wrapText="1"/>
    </xf>
    <xf numFmtId="0" fontId="19" fillId="6" borderId="40" xfId="0" applyFont="1" applyFill="1" applyBorder="1" applyAlignment="1">
      <alignment horizontal="center" vertical="center" wrapText="1"/>
    </xf>
    <xf numFmtId="0" fontId="19" fillId="6" borderId="41" xfId="0" applyFont="1" applyFill="1" applyBorder="1" applyAlignment="1">
      <alignment horizontal="center" vertical="center" wrapText="1"/>
    </xf>
    <xf numFmtId="0" fontId="19" fillId="6" borderId="42" xfId="0" applyFont="1" applyFill="1" applyBorder="1" applyAlignment="1">
      <alignment horizontal="center" vertical="center" wrapText="1"/>
    </xf>
    <xf numFmtId="0" fontId="19" fillId="6" borderId="43" xfId="0" applyFont="1" applyFill="1" applyBorder="1" applyAlignment="1">
      <alignment horizontal="center" vertical="center" wrapText="1"/>
    </xf>
    <xf numFmtId="0" fontId="17" fillId="8" borderId="12" xfId="0" applyFont="1" applyFill="1" applyBorder="1" applyAlignment="1">
      <alignment horizontal="left" vertical="center" wrapText="1"/>
    </xf>
    <xf numFmtId="0" fontId="17" fillId="8" borderId="14" xfId="0" applyFont="1" applyFill="1" applyBorder="1" applyAlignment="1">
      <alignment horizontal="left" vertical="center" wrapText="1"/>
    </xf>
    <xf numFmtId="0" fontId="33" fillId="7" borderId="0" xfId="0" applyFont="1" applyFill="1" applyAlignment="1" applyProtection="1">
      <alignment horizontal="center" vertical="center" wrapText="1"/>
      <protection hidden="1"/>
    </xf>
    <xf numFmtId="10" fontId="27" fillId="6" borderId="34" xfId="1" quotePrefix="1" applyNumberFormat="1" applyFont="1" applyFill="1" applyBorder="1" applyAlignment="1">
      <alignment horizontal="center" vertical="center"/>
    </xf>
    <xf numFmtId="10" fontId="27" fillId="6" borderId="30" xfId="1" quotePrefix="1" applyNumberFormat="1" applyFont="1" applyFill="1" applyBorder="1" applyAlignment="1">
      <alignment horizontal="center" vertical="center"/>
    </xf>
    <xf numFmtId="10" fontId="27" fillId="6" borderId="35" xfId="1" quotePrefix="1" applyNumberFormat="1" applyFont="1" applyFill="1" applyBorder="1" applyAlignment="1">
      <alignment horizontal="center" vertical="center"/>
    </xf>
    <xf numFmtId="0" fontId="35" fillId="0" borderId="29" xfId="0" applyFont="1" applyBorder="1" applyAlignment="1">
      <alignment horizontal="center" vertical="center"/>
    </xf>
    <xf numFmtId="0" fontId="35" fillId="0" borderId="30" xfId="0" applyFont="1" applyBorder="1" applyAlignment="1">
      <alignment horizontal="center" vertical="center"/>
    </xf>
    <xf numFmtId="0" fontId="35" fillId="0" borderId="31" xfId="0" applyFont="1" applyBorder="1" applyAlignment="1">
      <alignment horizontal="center" vertical="center"/>
    </xf>
    <xf numFmtId="0" fontId="27" fillId="6" borderId="32" xfId="0" applyFont="1" applyFill="1" applyBorder="1" applyAlignment="1">
      <alignment horizontal="center" vertical="center" wrapText="1"/>
    </xf>
    <xf numFmtId="0" fontId="27" fillId="6" borderId="33" xfId="0" applyFont="1" applyFill="1" applyBorder="1" applyAlignment="1">
      <alignment horizontal="center" vertical="center" wrapText="1"/>
    </xf>
    <xf numFmtId="0" fontId="19" fillId="6" borderId="18" xfId="0" applyFont="1" applyFill="1" applyBorder="1" applyAlignment="1">
      <alignment horizontal="center" vertical="center" wrapText="1"/>
    </xf>
    <xf numFmtId="0" fontId="19" fillId="6" borderId="17" xfId="0" applyFont="1" applyFill="1" applyBorder="1" applyAlignment="1">
      <alignment horizontal="center" vertical="center" wrapText="1"/>
    </xf>
    <xf numFmtId="0" fontId="19" fillId="6" borderId="22" xfId="0" applyFont="1" applyFill="1" applyBorder="1" applyAlignment="1">
      <alignment horizontal="center" vertical="center" wrapText="1"/>
    </xf>
    <xf numFmtId="0" fontId="19" fillId="6" borderId="24" xfId="0" applyFont="1" applyFill="1" applyBorder="1" applyAlignment="1">
      <alignment horizontal="center" vertical="center" wrapText="1"/>
    </xf>
    <xf numFmtId="0" fontId="28" fillId="6" borderId="34" xfId="0" applyFont="1" applyFill="1" applyBorder="1" applyAlignment="1">
      <alignment horizontal="center" vertical="center"/>
    </xf>
    <xf numFmtId="0" fontId="28" fillId="6" borderId="30" xfId="0" applyFont="1" applyFill="1" applyBorder="1" applyAlignment="1">
      <alignment horizontal="center" vertical="center"/>
    </xf>
    <xf numFmtId="0" fontId="41" fillId="6" borderId="19" xfId="0" applyFont="1" applyFill="1" applyBorder="1" applyAlignment="1">
      <alignment horizontal="center" vertical="center" wrapText="1"/>
    </xf>
    <xf numFmtId="0" fontId="41" fillId="6" borderId="46" xfId="0" applyFont="1" applyFill="1" applyBorder="1" applyAlignment="1">
      <alignment horizontal="center" vertical="center" wrapText="1"/>
    </xf>
    <xf numFmtId="0" fontId="41" fillId="6" borderId="26" xfId="0" applyFont="1" applyFill="1" applyBorder="1" applyAlignment="1">
      <alignment horizontal="center" vertical="center" wrapText="1"/>
    </xf>
    <xf numFmtId="0" fontId="19" fillId="6" borderId="19" xfId="0" applyFont="1" applyFill="1" applyBorder="1" applyAlignment="1">
      <alignment horizontal="center" vertical="center" wrapText="1"/>
    </xf>
    <xf numFmtId="0" fontId="19" fillId="6" borderId="46" xfId="0" applyFont="1" applyFill="1" applyBorder="1" applyAlignment="1">
      <alignment horizontal="center" vertical="center" wrapText="1"/>
    </xf>
    <xf numFmtId="0" fontId="19" fillId="6" borderId="26" xfId="0" applyFont="1" applyFill="1" applyBorder="1" applyAlignment="1">
      <alignment horizontal="center" vertical="center" wrapText="1"/>
    </xf>
    <xf numFmtId="0" fontId="21" fillId="0" borderId="34" xfId="0" applyFont="1" applyBorder="1" applyAlignment="1">
      <alignment horizontal="left" vertical="center" wrapText="1"/>
    </xf>
    <xf numFmtId="0" fontId="21" fillId="0" borderId="30" xfId="0" applyFont="1" applyBorder="1" applyAlignment="1">
      <alignment horizontal="left" vertical="center" wrapText="1"/>
    </xf>
    <xf numFmtId="14" fontId="27" fillId="2" borderId="33" xfId="1" applyNumberFormat="1" applyFont="1" applyFill="1" applyBorder="1" applyAlignment="1">
      <alignment horizontal="center" vertical="center"/>
    </xf>
    <xf numFmtId="14" fontId="28" fillId="2" borderId="33" xfId="0" applyNumberFormat="1" applyFont="1" applyFill="1" applyBorder="1" applyAlignment="1">
      <alignment horizontal="center" vertical="center"/>
    </xf>
    <xf numFmtId="14" fontId="28" fillId="2" borderId="36" xfId="0" applyNumberFormat="1" applyFont="1" applyFill="1" applyBorder="1" applyAlignment="1">
      <alignment horizontal="center" vertical="center"/>
    </xf>
    <xf numFmtId="0" fontId="6" fillId="5" borderId="5" xfId="0" applyFont="1" applyFill="1" applyBorder="1" applyAlignment="1">
      <alignment horizontal="center"/>
    </xf>
    <xf numFmtId="0" fontId="6" fillId="5" borderId="6" xfId="0" applyFont="1" applyFill="1"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209">
    <cellStyle name="Hiperlink" xfId="9" builtinId="8" hidden="1"/>
    <cellStyle name="Hiperlink" xfId="5" builtinId="8" hidden="1"/>
    <cellStyle name="Hiperlink" xfId="21" builtinId="8" hidden="1"/>
    <cellStyle name="Hiperlink" xfId="15" builtinId="8" hidden="1"/>
    <cellStyle name="Hiperlink" xfId="45" builtinId="8" hidden="1"/>
    <cellStyle name="Hiperlink" xfId="59" builtinId="8" hidden="1"/>
    <cellStyle name="Hiperlink" xfId="49" builtinId="8" hidden="1"/>
    <cellStyle name="Hiperlink" xfId="39" builtinId="8" hidden="1"/>
    <cellStyle name="Hiperlink" xfId="27" builtinId="8" hidden="1"/>
    <cellStyle name="Hiperlink" xfId="73" builtinId="8" hidden="1"/>
    <cellStyle name="Hiperlink" xfId="89" builtinId="8" hidden="1"/>
    <cellStyle name="Hiperlink" xfId="105" builtinId="8" hidden="1"/>
    <cellStyle name="Hiperlink" xfId="121" builtinId="8" hidden="1"/>
    <cellStyle name="Hiperlink" xfId="137" builtinId="8" hidden="1"/>
    <cellStyle name="Hiperlink" xfId="153" builtinId="8" hidden="1"/>
    <cellStyle name="Hiperlink" xfId="169" builtinId="8" hidden="1"/>
    <cellStyle name="Hiperlink" xfId="185" builtinId="8" hidden="1"/>
    <cellStyle name="Hiperlink" xfId="195" builtinId="8" hidden="1"/>
    <cellStyle name="Hiperlink" xfId="107" builtinId="8" hidden="1"/>
    <cellStyle name="Hiperlink" xfId="119" builtinId="8" hidden="1"/>
    <cellStyle name="Hiperlink" xfId="127" builtinId="8" hidden="1"/>
    <cellStyle name="Hiperlink" xfId="139" builtinId="8" hidden="1"/>
    <cellStyle name="Hiperlink" xfId="151" builtinId="8" hidden="1"/>
    <cellStyle name="Hiperlink" xfId="159" builtinId="8" hidden="1"/>
    <cellStyle name="Hiperlink" xfId="171" builtinId="8" hidden="1"/>
    <cellStyle name="Hiperlink" xfId="183" builtinId="8" hidden="1"/>
    <cellStyle name="Hiperlink" xfId="163" builtinId="8" hidden="1"/>
    <cellStyle name="Hiperlink" xfId="131" builtinId="8" hidden="1"/>
    <cellStyle name="Hiperlink" xfId="83" builtinId="8" hidden="1"/>
    <cellStyle name="Hiperlink" xfId="91" builtinId="8" hidden="1"/>
    <cellStyle name="Hiperlink" xfId="103" builtinId="8" hidden="1"/>
    <cellStyle name="Hiperlink" xfId="75" builtinId="8" hidden="1"/>
    <cellStyle name="Hiperlink" xfId="71" builtinId="8" hidden="1"/>
    <cellStyle name="Hiperlink" xfId="67" builtinId="8" hidden="1"/>
    <cellStyle name="Hiperlink" xfId="79" builtinId="8" hidden="1"/>
    <cellStyle name="Hiperlink" xfId="99" builtinId="8" hidden="1"/>
    <cellStyle name="Hiperlink" xfId="95" builtinId="8" hidden="1"/>
    <cellStyle name="Hiperlink" xfId="87" builtinId="8" hidden="1"/>
    <cellStyle name="Hiperlink" xfId="115" builtinId="8" hidden="1"/>
    <cellStyle name="Hiperlink" xfId="147" builtinId="8" hidden="1"/>
    <cellStyle name="Hiperlink" xfId="179" builtinId="8" hidden="1"/>
    <cellStyle name="Hiperlink" xfId="175" builtinId="8" hidden="1"/>
    <cellStyle name="Hiperlink" xfId="167" builtinId="8" hidden="1"/>
    <cellStyle name="Hiperlink" xfId="155" builtinId="8" hidden="1"/>
    <cellStyle name="Hiperlink" xfId="143" builtinId="8" hidden="1"/>
    <cellStyle name="Hiperlink" xfId="135" builtinId="8" hidden="1"/>
    <cellStyle name="Hiperlink" xfId="123" builtinId="8" hidden="1"/>
    <cellStyle name="Hiperlink" xfId="111" builtinId="8" hidden="1"/>
    <cellStyle name="Hiperlink" xfId="187" builtinId="8" hidden="1"/>
    <cellStyle name="Hiperlink" xfId="193" builtinId="8" hidden="1"/>
    <cellStyle name="Hiperlink" xfId="177" builtinId="8" hidden="1"/>
    <cellStyle name="Hiperlink" xfId="161" builtinId="8" hidden="1"/>
    <cellStyle name="Hiperlink" xfId="145" builtinId="8" hidden="1"/>
    <cellStyle name="Hiperlink" xfId="129" builtinId="8" hidden="1"/>
    <cellStyle name="Hiperlink" xfId="113" builtinId="8" hidden="1"/>
    <cellStyle name="Hiperlink" xfId="97" builtinId="8" hidden="1"/>
    <cellStyle name="Hiperlink" xfId="81" builtinId="8" hidden="1"/>
    <cellStyle name="Hiperlink" xfId="65" builtinId="8" hidden="1"/>
    <cellStyle name="Hiperlink" xfId="33" builtinId="8" hidden="1"/>
    <cellStyle name="Hiperlink" xfId="43" builtinId="8" hidden="1"/>
    <cellStyle name="Hiperlink" xfId="55" builtinId="8" hidden="1"/>
    <cellStyle name="Hiperlink" xfId="61" builtinId="8" hidden="1"/>
    <cellStyle name="Hiperlink" xfId="29" builtinId="8" hidden="1"/>
    <cellStyle name="Hiperlink" xfId="19" builtinId="8" hidden="1"/>
    <cellStyle name="Hiperlink" xfId="11" builtinId="8" hidden="1"/>
    <cellStyle name="Hiperlink" xfId="7" builtinId="8" hidden="1"/>
    <cellStyle name="Hiperlink" xfId="23" builtinId="8" hidden="1"/>
    <cellStyle name="Hiperlink" xfId="125" builtinId="8" hidden="1"/>
    <cellStyle name="Hiperlink" xfId="117" builtinId="8" hidden="1"/>
    <cellStyle name="Hiperlink" xfId="101" builtinId="8" hidden="1"/>
    <cellStyle name="Hiperlink" xfId="93" builtinId="8" hidden="1"/>
    <cellStyle name="Hiperlink" xfId="85" builtinId="8" hidden="1"/>
    <cellStyle name="Hiperlink" xfId="69" builtinId="8" hidden="1"/>
    <cellStyle name="Hiperlink" xfId="25" builtinId="8" hidden="1"/>
    <cellStyle name="Hiperlink" xfId="31" builtinId="8" hidden="1"/>
    <cellStyle name="Hiperlink" xfId="41" builtinId="8" hidden="1"/>
    <cellStyle name="Hiperlink" xfId="47" builtinId="8" hidden="1"/>
    <cellStyle name="Hiperlink" xfId="51" builtinId="8" hidden="1"/>
    <cellStyle name="Hiperlink" xfId="63" builtinId="8" hidden="1"/>
    <cellStyle name="Hiperlink" xfId="53" builtinId="8" hidden="1"/>
    <cellStyle name="Hiperlink" xfId="37" builtinId="8" hidden="1"/>
    <cellStyle name="Hiperlink" xfId="17" builtinId="8" hidden="1"/>
    <cellStyle name="Hiperlink" xfId="13" builtinId="8" hidden="1"/>
    <cellStyle name="Hiperlink" xfId="57" builtinId="8" hidden="1"/>
    <cellStyle name="Hiperlink" xfId="35" builtinId="8" hidden="1"/>
    <cellStyle name="Hiperlink" xfId="77" builtinId="8" hidden="1"/>
    <cellStyle name="Hiperlink" xfId="109" builtinId="8" hidden="1"/>
    <cellStyle name="Hiperlink" xfId="173" builtinId="8" hidden="1"/>
    <cellStyle name="Hiperlink" xfId="165" builtinId="8" hidden="1"/>
    <cellStyle name="Hiperlink" xfId="157" builtinId="8" hidden="1"/>
    <cellStyle name="Hiperlink" xfId="149" builtinId="8" hidden="1"/>
    <cellStyle name="Hiperlink" xfId="133" builtinId="8" hidden="1"/>
    <cellStyle name="Hiperlink" xfId="141" builtinId="8" hidden="1"/>
    <cellStyle name="Hiperlink" xfId="189" builtinId="8" hidden="1"/>
    <cellStyle name="Hiperlink" xfId="181" builtinId="8" hidden="1"/>
    <cellStyle name="Hiperlink" xfId="197" builtinId="8" hidden="1"/>
    <cellStyle name="Hiperlink" xfId="191" builtinId="8" hidden="1"/>
    <cellStyle name="Hiperlink Visitado" xfId="18" builtinId="9" hidden="1"/>
    <cellStyle name="Hiperlink Visitado" xfId="30" builtinId="9" hidden="1"/>
    <cellStyle name="Hiperlink Visitado" xfId="22" builtinId="9" hidden="1"/>
    <cellStyle name="Hiperlink Visitado" xfId="88" builtinId="9" hidden="1"/>
    <cellStyle name="Hiperlink Visitado" xfId="70" builtinId="9" hidden="1"/>
    <cellStyle name="Hiperlink Visitado" xfId="60" builtinId="9" hidden="1"/>
    <cellStyle name="Hiperlink Visitado" xfId="50" builtinId="9" hidden="1"/>
    <cellStyle name="Hiperlink Visitado" xfId="116" builtinId="9" hidden="1"/>
    <cellStyle name="Hiperlink Visitado" xfId="148" builtinId="9" hidden="1"/>
    <cellStyle name="Hiperlink Visitado" xfId="180" builtinId="9" hidden="1"/>
    <cellStyle name="Hiperlink Visitado" xfId="142" builtinId="9" hidden="1"/>
    <cellStyle name="Hiperlink Visitado" xfId="144" builtinId="9" hidden="1"/>
    <cellStyle name="Hiperlink Visitado" xfId="146" builtinId="9" hidden="1"/>
    <cellStyle name="Hiperlink Visitado" xfId="154" builtinId="9" hidden="1"/>
    <cellStyle name="Hiperlink Visitado" xfId="158" builtinId="9" hidden="1"/>
    <cellStyle name="Hiperlink Visitado" xfId="160" builtinId="9" hidden="1"/>
    <cellStyle name="Hiperlink Visitado" xfId="166" builtinId="9" hidden="1"/>
    <cellStyle name="Hiperlink Visitado" xfId="168" builtinId="9" hidden="1"/>
    <cellStyle name="Hiperlink Visitado" xfId="170" builtinId="9" hidden="1"/>
    <cellStyle name="Hiperlink Visitado" xfId="178" builtinId="9" hidden="1"/>
    <cellStyle name="Hiperlink Visitado" xfId="182" builtinId="9" hidden="1"/>
    <cellStyle name="Hiperlink Visitado" xfId="184" builtinId="9" hidden="1"/>
    <cellStyle name="Hiperlink Visitado" xfId="190" builtinId="9" hidden="1"/>
    <cellStyle name="Hiperlink Visitado" xfId="192" builtinId="9" hidden="1"/>
    <cellStyle name="Hiperlink Visitado" xfId="198" builtinId="9" hidden="1"/>
    <cellStyle name="Hiperlink Visitado" xfId="194" builtinId="9" hidden="1"/>
    <cellStyle name="Hiperlink Visitado" xfId="174" builtinId="9" hidden="1"/>
    <cellStyle name="Hiperlink Visitado" xfId="152" builtinId="9" hidden="1"/>
    <cellStyle name="Hiperlink Visitado" xfId="114" builtinId="9" hidden="1"/>
    <cellStyle name="Hiperlink Visitado" xfId="118" builtinId="9" hidden="1"/>
    <cellStyle name="Hiperlink Visitado" xfId="120" builtinId="9" hidden="1"/>
    <cellStyle name="Hiperlink Visitado" xfId="126" builtinId="9" hidden="1"/>
    <cellStyle name="Hiperlink Visitado" xfId="128" builtinId="9" hidden="1"/>
    <cellStyle name="Hiperlink Visitado" xfId="134" builtinId="9" hidden="1"/>
    <cellStyle name="Hiperlink Visitado" xfId="130" builtinId="9" hidden="1"/>
    <cellStyle name="Hiperlink Visitado" xfId="102" builtinId="9" hidden="1"/>
    <cellStyle name="Hiperlink Visitado" xfId="104" builtinId="9" hidden="1"/>
    <cellStyle name="Hiperlink Visitado" xfId="110" builtinId="9" hidden="1"/>
    <cellStyle name="Hiperlink Visitado" xfId="96" builtinId="9" hidden="1"/>
    <cellStyle name="Hiperlink Visitado" xfId="98" builtinId="9" hidden="1"/>
    <cellStyle name="Hiperlink Visitado" xfId="90" builtinId="9" hidden="1"/>
    <cellStyle name="Hiperlink Visitado" xfId="94" builtinId="9" hidden="1"/>
    <cellStyle name="Hiperlink Visitado" xfId="106" builtinId="9" hidden="1"/>
    <cellStyle name="Hiperlink Visitado" xfId="136" builtinId="9" hidden="1"/>
    <cellStyle name="Hiperlink Visitado" xfId="122" builtinId="9" hidden="1"/>
    <cellStyle name="Hiperlink Visitado" xfId="112" builtinId="9" hidden="1"/>
    <cellStyle name="Hiperlink Visitado" xfId="196" builtinId="9" hidden="1"/>
    <cellStyle name="Hiperlink Visitado" xfId="186" builtinId="9" hidden="1"/>
    <cellStyle name="Hiperlink Visitado" xfId="176" builtinId="9" hidden="1"/>
    <cellStyle name="Hiperlink Visitado" xfId="162" builtinId="9" hidden="1"/>
    <cellStyle name="Hiperlink Visitado" xfId="150" builtinId="9" hidden="1"/>
    <cellStyle name="Hiperlink Visitado" xfId="138" builtinId="9" hidden="1"/>
    <cellStyle name="Hiperlink Visitado" xfId="42" builtinId="9" hidden="1"/>
    <cellStyle name="Hiperlink Visitado" xfId="78" builtinId="9" hidden="1"/>
    <cellStyle name="Hiperlink Visitado" xfId="40" builtinId="9" hidden="1"/>
    <cellStyle name="Hiperlink Visitado" xfId="66" builtinId="9" hidden="1"/>
    <cellStyle name="Hiperlink Visitado" xfId="72" builtinId="9" hidden="1"/>
    <cellStyle name="Hiperlink Visitado" xfId="74" builtinId="9" hidden="1"/>
    <cellStyle name="Hiperlink Visitado" xfId="76" builtinId="9" hidden="1"/>
    <cellStyle name="Hiperlink Visitado" xfId="80" builtinId="9" hidden="1"/>
    <cellStyle name="Hiperlink Visitado" xfId="86" builtinId="9" hidden="1"/>
    <cellStyle name="Hiperlink Visitado" xfId="84" builtinId="9" hidden="1"/>
    <cellStyle name="Hiperlink Visitado" xfId="68" builtinId="9" hidden="1"/>
    <cellStyle name="Hiperlink Visitado" xfId="52" builtinId="9" hidden="1"/>
    <cellStyle name="Hiperlink Visitado" xfId="24" builtinId="9" hidden="1"/>
    <cellStyle name="Hiperlink Visitado" xfId="26" builtinId="9" hidden="1"/>
    <cellStyle name="Hiperlink Visitado" xfId="28" builtinId="9" hidden="1"/>
    <cellStyle name="Hiperlink Visitado" xfId="34" builtinId="9" hidden="1"/>
    <cellStyle name="Hiperlink Visitado" xfId="38" builtinId="9" hidden="1"/>
    <cellStyle name="Hiperlink Visitado" xfId="36" builtinId="9" hidden="1"/>
    <cellStyle name="Hiperlink Visitado" xfId="14" builtinId="9" hidden="1"/>
    <cellStyle name="Hiperlink Visitado" xfId="16" builtinId="9" hidden="1"/>
    <cellStyle name="Hiperlink Visitado" xfId="20" builtinId="9" hidden="1"/>
    <cellStyle name="Hiperlink Visitado" xfId="10" builtinId="9" hidden="1"/>
    <cellStyle name="Hiperlink Visitado" xfId="6" builtinId="9" hidden="1"/>
    <cellStyle name="Hiperlink Visitado" xfId="8" builtinId="9" hidden="1"/>
    <cellStyle name="Hiperlink Visitado" xfId="12" builtinId="9" hidden="1"/>
    <cellStyle name="Hiperlink Visitado" xfId="32" builtinId="9" hidden="1"/>
    <cellStyle name="Hiperlink Visitado" xfId="82" builtinId="9" hidden="1"/>
    <cellStyle name="Hiperlink Visitado" xfId="100" builtinId="9" hidden="1"/>
    <cellStyle name="Hiperlink Visitado" xfId="92" builtinId="9" hidden="1"/>
    <cellStyle name="Hiperlink Visitado" xfId="44" builtinId="9" hidden="1"/>
    <cellStyle name="Hiperlink Visitado" xfId="46" builtinId="9" hidden="1"/>
    <cellStyle name="Hiperlink Visitado" xfId="48" builtinId="9" hidden="1"/>
    <cellStyle name="Hiperlink Visitado" xfId="54" builtinId="9" hidden="1"/>
    <cellStyle name="Hiperlink Visitado" xfId="56" builtinId="9" hidden="1"/>
    <cellStyle name="Hiperlink Visitado" xfId="62" builtinId="9" hidden="1"/>
    <cellStyle name="Hiperlink Visitado" xfId="64" builtinId="9" hidden="1"/>
    <cellStyle name="Hiperlink Visitado" xfId="58" builtinId="9" hidden="1"/>
    <cellStyle name="Hiperlink Visitado" xfId="140" builtinId="9" hidden="1"/>
    <cellStyle name="Hiperlink Visitado" xfId="132" builtinId="9" hidden="1"/>
    <cellStyle name="Hiperlink Visitado" xfId="124" builtinId="9" hidden="1"/>
    <cellStyle name="Hiperlink Visitado" xfId="108" builtinId="9" hidden="1"/>
    <cellStyle name="Hiperlink Visitado" xfId="164" builtinId="9" hidden="1"/>
    <cellStyle name="Hiperlink Visitado" xfId="156" builtinId="9" hidden="1"/>
    <cellStyle name="Hiperlink Visitado" xfId="172" builtinId="9" hidden="1"/>
    <cellStyle name="Hiperlink Visitado" xfId="188" builtinId="9" hidden="1"/>
    <cellStyle name="Normal" xfId="0" builtinId="0"/>
    <cellStyle name="Normal 2" xfId="207" xr:uid="{00000000-0005-0000-0000-0000C3000000}"/>
    <cellStyle name="Normal 3" xfId="208" xr:uid="{00000000-0005-0000-0000-0000C4000000}"/>
    <cellStyle name="Normal 5 2" xfId="200" xr:uid="{00000000-0005-0000-0000-0000C5000000}"/>
    <cellStyle name="Porcentagem" xfId="199" builtinId="5"/>
    <cellStyle name="Porcentagem 2" xfId="1" xr:uid="{00000000-0005-0000-0000-0000C7000000}"/>
    <cellStyle name="Porcentagem 3" xfId="2" xr:uid="{00000000-0005-0000-0000-0000C8000000}"/>
    <cellStyle name="Separador de milhares 2" xfId="3" xr:uid="{00000000-0005-0000-0000-0000C9000000}"/>
    <cellStyle name="Separador de milhares 2 2" xfId="201" xr:uid="{00000000-0005-0000-0000-0000CA000000}"/>
    <cellStyle name="Separador de milhares 2 2 2" xfId="205" xr:uid="{00000000-0005-0000-0000-0000CB000000}"/>
    <cellStyle name="Separador de milhares 2 3" xfId="203" xr:uid="{00000000-0005-0000-0000-0000CC000000}"/>
    <cellStyle name="Vírgula 2" xfId="4" xr:uid="{00000000-0005-0000-0000-0000CD000000}"/>
    <cellStyle name="Vírgula 2 2" xfId="202" xr:uid="{00000000-0005-0000-0000-0000CE000000}"/>
    <cellStyle name="Vírgula 2 2 2" xfId="206" xr:uid="{00000000-0005-0000-0000-0000CF000000}"/>
    <cellStyle name="Vírgula 2 3" xfId="204" xr:uid="{00000000-0005-0000-0000-0000D0000000}"/>
  </cellStyles>
  <dxfs count="38">
    <dxf>
      <font>
        <color rgb="FF00B050"/>
      </font>
    </dxf>
    <dxf>
      <font>
        <color rgb="FFFF0000"/>
      </font>
    </dxf>
    <dxf>
      <font>
        <color rgb="FFEEB500"/>
      </font>
      <fill>
        <patternFill>
          <bgColor rgb="FFFFF2C9"/>
        </patternFill>
      </fill>
    </dxf>
    <dxf>
      <font>
        <color rgb="FFFF0000"/>
      </font>
      <fill>
        <patternFill>
          <bgColor theme="9" tint="0.79998168889431442"/>
        </patternFill>
      </fill>
    </dxf>
    <dxf>
      <font>
        <color rgb="FF00B050"/>
      </font>
      <fill>
        <patternFill>
          <bgColor theme="6" tint="0.79998168889431442"/>
        </patternFill>
      </fill>
    </dxf>
    <dxf>
      <font>
        <color rgb="FFEEB500"/>
      </font>
      <fill>
        <patternFill>
          <bgColor rgb="FFFFF2C9"/>
        </patternFill>
      </fill>
    </dxf>
    <dxf>
      <font>
        <color rgb="FFFF0000"/>
      </font>
      <fill>
        <patternFill>
          <bgColor theme="9" tint="0.79998168889431442"/>
        </patternFill>
      </fill>
    </dxf>
    <dxf>
      <font>
        <color rgb="FF00B050"/>
      </font>
      <fill>
        <patternFill>
          <bgColor theme="6" tint="0.79998168889431442"/>
        </patternFill>
      </fill>
    </dxf>
    <dxf>
      <font>
        <color theme="0" tint="-0.499984740745262"/>
      </font>
      <fill>
        <patternFill>
          <bgColor theme="0" tint="-4.9989318521683403E-2"/>
        </patternFill>
      </fill>
    </dxf>
    <dxf>
      <font>
        <color theme="0" tint="-0.499984740745262"/>
      </font>
      <fill>
        <patternFill>
          <bgColor theme="0" tint="-4.9989318521683403E-2"/>
        </patternFill>
      </fill>
    </dxf>
    <dxf>
      <font>
        <color rgb="FFFF0000"/>
      </font>
      <fill>
        <patternFill>
          <bgColor theme="9" tint="0.79998168889431442"/>
        </patternFill>
      </fill>
    </dxf>
    <dxf>
      <numFmt numFmtId="171" formatCode="0.0"/>
      <fill>
        <patternFill patternType="solid">
          <fgColor theme="4" tint="0.59996337778862885"/>
          <bgColor theme="8" tint="0.79998168889431442"/>
        </patternFill>
      </fill>
    </dxf>
    <dxf>
      <fill>
        <patternFill>
          <bgColor theme="0" tint="-0.34998626667073579"/>
        </patternFill>
      </fill>
    </dxf>
    <dxf>
      <font>
        <color theme="0"/>
      </font>
    </dxf>
    <dxf>
      <font>
        <color theme="0"/>
      </font>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theme="0"/>
      </font>
    </dxf>
    <dxf>
      <font>
        <color rgb="FF00B050"/>
      </font>
      <fill>
        <patternFill>
          <bgColor theme="6" tint="0.79998168889431442"/>
        </patternFill>
      </fill>
    </dxf>
    <dxf>
      <font>
        <color rgb="FFFF0000"/>
      </font>
      <fill>
        <patternFill>
          <bgColor theme="9" tint="0.79998168889431442"/>
        </patternFill>
      </fill>
    </dxf>
    <dxf>
      <font>
        <color theme="0"/>
      </font>
    </dxf>
    <dxf>
      <fill>
        <patternFill>
          <bgColor theme="0" tint="-0.34998626667073579"/>
        </patternFill>
      </fill>
    </dxf>
    <dxf>
      <font>
        <color rgb="FF00B050"/>
      </font>
      <fill>
        <patternFill>
          <bgColor rgb="FFEBF1DE"/>
        </patternFill>
      </fill>
    </dxf>
    <dxf>
      <font>
        <color rgb="FFFF0000"/>
      </font>
      <fill>
        <patternFill>
          <bgColor rgb="FFFDE9D9"/>
        </patternFill>
      </fill>
    </dxf>
    <dxf>
      <numFmt numFmtId="171" formatCode="0.0"/>
      <fill>
        <patternFill patternType="solid">
          <fgColor theme="4" tint="0.59996337778862885"/>
          <bgColor theme="8" tint="0.79998168889431442"/>
        </patternFill>
      </fill>
    </dxf>
    <dxf>
      <font>
        <color theme="0"/>
      </font>
    </dxf>
    <dxf>
      <font>
        <color rgb="FF00B050"/>
      </font>
      <fill>
        <patternFill>
          <bgColor rgb="FFEBF1DE"/>
        </patternFill>
      </fill>
    </dxf>
    <dxf>
      <font>
        <color rgb="FFFF0000"/>
      </font>
      <fill>
        <patternFill>
          <bgColor rgb="FFFDE9D9"/>
        </patternFill>
      </fill>
    </dxf>
    <dxf>
      <numFmt numFmtId="171" formatCode="0.0"/>
      <fill>
        <patternFill patternType="solid">
          <fgColor theme="4" tint="0.59996337778862885"/>
          <bgColor theme="8" tint="0.79998168889431442"/>
        </patternFill>
      </fill>
    </dxf>
    <dxf>
      <font>
        <color theme="0"/>
      </font>
    </dxf>
  </dxfs>
  <tableStyles count="0" defaultTableStyle="TableStyleMedium9" defaultPivotStyle="PivotStyleLight16"/>
  <colors>
    <mruColors>
      <color rgb="FFEBF1DE"/>
      <color rgb="FFCAD9A7"/>
      <color rgb="FFFDE9D9"/>
      <color rgb="FFFF7D7D"/>
      <color rgb="FF009999"/>
      <color rgb="FF69BE28"/>
      <color rgb="FFC00000"/>
      <color rgb="FF008080"/>
      <color rgb="FFFF5050"/>
      <color rgb="FFEEB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calcChain" Target="calcChain.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2</xdr:col>
      <xdr:colOff>638175</xdr:colOff>
      <xdr:row>1</xdr:row>
      <xdr:rowOff>9525</xdr:rowOff>
    </xdr:from>
    <xdr:to>
      <xdr:col>3</xdr:col>
      <xdr:colOff>531379</xdr:colOff>
      <xdr:row>2</xdr:row>
      <xdr:rowOff>106506</xdr:rowOff>
    </xdr:to>
    <xdr:pic>
      <xdr:nvPicPr>
        <xdr:cNvPr id="4" name="Imagem 3">
          <a:extLst>
            <a:ext uri="{FF2B5EF4-FFF2-40B4-BE49-F238E27FC236}">
              <a16:creationId xmlns:a16="http://schemas.microsoft.com/office/drawing/2014/main" id="{00000000-0008-0000-17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38625" y="200025"/>
          <a:ext cx="864754" cy="2874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22</xdr:col>
      <xdr:colOff>536863</xdr:colOff>
      <xdr:row>1</xdr:row>
      <xdr:rowOff>17317</xdr:rowOff>
    </xdr:from>
    <xdr:to>
      <xdr:col>23</xdr:col>
      <xdr:colOff>1177636</xdr:colOff>
      <xdr:row>1</xdr:row>
      <xdr:rowOff>762000</xdr:rowOff>
    </xdr:to>
    <xdr:sp macro="" textlink="">
      <xdr:nvSpPr>
        <xdr:cNvPr id="5" name="CaixaDeTexto 4">
          <a:extLst>
            <a:ext uri="{FF2B5EF4-FFF2-40B4-BE49-F238E27FC236}">
              <a16:creationId xmlns:a16="http://schemas.microsoft.com/office/drawing/2014/main" id="{220FD536-4BE4-0B07-7BFB-6E711348C18D}"/>
            </a:ext>
          </a:extLst>
        </xdr:cNvPr>
        <xdr:cNvSpPr txBox="1"/>
      </xdr:nvSpPr>
      <xdr:spPr>
        <a:xfrm>
          <a:off x="13733318" y="86590"/>
          <a:ext cx="1627909" cy="744683"/>
        </a:xfrm>
        <a:prstGeom prst="rect">
          <a:avLst/>
        </a:prstGeom>
        <a:no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pt-BR" sz="1600" b="1">
              <a:solidFill>
                <a:srgbClr val="FF0000"/>
              </a:solidFill>
            </a:rPr>
            <a:t>Prrencher com a logo do Cliente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darlan.vitorino\AppData\Local\Microsoft\Windows\Temporary%2520Internet%2520Files\Content.Outlook\ETK1JQCP\Backup\LPT-TU\PRA\PRA%2520BRN_LPTTU_v.13.3_Junho%25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IDOR\Engenharia\Planejamento\MODELO\Grafpla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RESULTA\PROPOSTA\BDPRO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PROPOSTAS\WLL_NOKIA\MI_DIRETORIA\LPU_NAO%20USAD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lobalvale.sharepoint.com/sites/LPS-Timbopeba/Shared%20Documents/General/02.%20Plano%20de%20trabalho/01.%20LPS/04.%20Programa&#231;&#227;o%20Semanal/03.%20Alfa/CURTO%20PRAZO%20-%20PLANILHA%20PADR&#195;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Users\Dagmar\6%20-%20OUTRAS%20OBRAS\2%20-%20ESTUDO%20TRANSORDESTINA\21%20-%20CRONOGRAMA\CRONOGRAMA%20MVP-05%20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CONTROLE\APONTAMENTO%20FER\M&#227;o%20de%20Obra\201409\Users\marcio.bezerra\Desktop\apontamento%20marcio%2001.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sers\fabiana.mattos\AppData\Local\Microsoft\Windows\Temporary%2520Internet%2520Files\Content.Outlook\BLPNHOS4\Apontamento%2520de%2520M&#227;o%2520de%2520Obra%2520marcio%252001_a_26%2520Ja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essao"/>
      <sheetName val="Help"/>
      <sheetName val="Suporte"/>
      <sheetName val="Explicação1"/>
      <sheetName val="Relatorio"/>
      <sheetName val="RENTA"/>
      <sheetName val="Cálculo"/>
      <sheetName val="Considerações_PRA"/>
      <sheetName val="Cenários"/>
      <sheetName val="Verificador"/>
      <sheetName val="CP"/>
      <sheetName val="DP"/>
      <sheetName val="OESP"/>
      <sheetName val="CTRL"/>
      <sheetName val="DO"/>
      <sheetName val="CR"/>
      <sheetName val="ACUM"/>
      <sheetName val="FC"/>
      <sheetName val="PE"/>
      <sheetName val="EVA"/>
      <sheetName val="ECONO"/>
      <sheetName val="FINAN"/>
      <sheetName val="ANUAL"/>
      <sheetName val="COMPARA"/>
      <sheetName val="ANALISE"/>
      <sheetName val="PM"/>
      <sheetName val="Consistênc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PRODUT MENSAL"/>
      <sheetName val="PRODUÇÃO ACUM"/>
      <sheetName val="CUSTO MÉD ACUM"/>
      <sheetName val="Produt JAN"/>
      <sheetName val="Produt FEV"/>
      <sheetName val="Produt MAR"/>
      <sheetName val="Produt ABR"/>
      <sheetName val="Produt MAI"/>
      <sheetName val="Produt JUN"/>
      <sheetName val="Produt JUL"/>
      <sheetName val="Produt AGO"/>
      <sheetName val="Produt SET"/>
      <sheetName val="Produt OUT"/>
      <sheetName val="Produt NOV"/>
      <sheetName val="Produt DEZ"/>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EMP AN"/>
      <sheetName val="DESEMP COM NE"/>
      <sheetName val="DESEMP COM SE"/>
      <sheetName val="DESEMP COM SL"/>
      <sheetName val="DESEMP COM TC"/>
      <sheetName val="DADOS"/>
      <sheetName val="Contratações"/>
      <sheetName val="PROP ELAB GANH"/>
      <sheetName val="PARETOS"/>
      <sheetName val="FAIXA PROPOSTAS"/>
      <sheetName val="DER janeiro98"/>
      <sheetName val="REAJUSTE"/>
      <sheetName val="BDPROP"/>
      <sheetName val="Projeções BRGAAP"/>
      <sheetName val="Preços_BSTC"/>
      <sheetName val="#REF"/>
      <sheetName val="Plan1"/>
      <sheetName val="RP-1 SB (3)"/>
      <sheetName val="hold model"/>
      <sheetName val="Anual"/>
      <sheetName val="Feriados"/>
      <sheetName val="indice precos mes"/>
      <sheetName val="DESEMP_AN"/>
      <sheetName val="DESEMP_COM_NE"/>
      <sheetName val="DESEMP_COM_SE"/>
      <sheetName val="DESEMP_COM_SL"/>
      <sheetName val="DESEMP_COM_TC"/>
      <sheetName val="PROP_ELAB_GANH"/>
      <sheetName val="FAIXA_PROPOSTAS"/>
      <sheetName val="DER_janeiro98"/>
      <sheetName val="mob-2.11"/>
      <sheetName val="fec-2.12"/>
      <sheetName val="eaigesen"/>
      <sheetName val="aux"/>
      <sheetName val="1.6"/>
      <sheetName val="samarco"/>
      <sheetName val="relatório"/>
      <sheetName val="cp terraplenagem"/>
      <sheetName val="estg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
      <sheetName val="ECA"/>
      <sheetName val="HID"/>
      <sheetName val="VIA"/>
      <sheetName val="RMT"/>
      <sheetName val="ALA"/>
      <sheetName val="ARC"/>
      <sheetName val="ECC"/>
      <sheetName val="SUP"/>
      <sheetName val="TOR"/>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cipal"/>
      <sheetName val="Plan.Padrão - NÃO EDITAR!"/>
      <sheetName val="Armaz.Dados"/>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OSIÇÕES"/>
      <sheetName val="Resumo Insumos não val"/>
      <sheetName val="Composições Auxiliares"/>
      <sheetName val="Composição Auxiliares"/>
      <sheetName val="MO"/>
      <sheetName val="EQUIPAMENTO"/>
      <sheetName val="C H EQUIP"/>
      <sheetName val="MATERIAL"/>
      <sheetName val="PLANILHA RESUMO"/>
      <sheetName val="ENCARGOS SOCIAIS"/>
      <sheetName val="TODO TRECHO"/>
      <sheetName val="MVP-05"/>
      <sheetName val="MVP-06"/>
      <sheetName val="CRONOGRAMA DE SERVIÇOS"/>
      <sheetName val="dias"/>
      <sheetName val="Histograma Terraplenagem"/>
    </sheetNames>
    <sheetDataSet>
      <sheetData sheetId="0"/>
      <sheetData sheetId="1"/>
      <sheetData sheetId="2" refreshError="1"/>
      <sheetData sheetId="3"/>
      <sheetData sheetId="4"/>
      <sheetData sheetId="5"/>
      <sheetData sheetId="6" refreshError="1"/>
      <sheetData sheetId="7"/>
      <sheetData sheetId="8"/>
      <sheetData sheetId="9" refreshError="1"/>
      <sheetData sheetId="10" refreshError="1"/>
      <sheetData sheetId="11"/>
      <sheetData sheetId="12" refreshError="1"/>
      <sheetData sheetId="13" refreshError="1"/>
      <sheetData sheetId="14"/>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
      <sheetName val="Apropriação Mão de Obra"/>
      <sheetName val="Relatorio SAPO"/>
      <sheetName val="Conf."/>
      <sheetName val="Folha de pagamento"/>
      <sheetName val="conferir relatorio de apontamen"/>
      <sheetName val="CADASTRO"/>
      <sheetName val="Apropriação_Mão_de_Obra"/>
      <sheetName val="Relatorio_SAPO"/>
      <sheetName val="Conf_"/>
      <sheetName val="Folha_de_pagamento"/>
      <sheetName val="conferir_relatorio_de_apontamen"/>
      <sheetName val="Leyenda"/>
    </sheetNames>
    <sheetDataSet>
      <sheetData sheetId="0"/>
      <sheetData sheetId="1" refreshError="1"/>
      <sheetData sheetId="2" refreshError="1"/>
      <sheetData sheetId="3" refreshError="1"/>
      <sheetData sheetId="4"/>
      <sheetData sheetId="5" refreshError="1"/>
      <sheetData sheetId="6" refreshError="1"/>
      <sheetData sheetId="7"/>
      <sheetData sheetId="8"/>
      <sheetData sheetId="9"/>
      <sheetData sheetId="10"/>
      <sheetData sheetId="1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ATÓRIO DIÁRIO DE PERDA"/>
      <sheetName val="Conf."/>
      <sheetName val="CALENDARIO"/>
      <sheetName val="Apropriação Mão de Obra"/>
      <sheetName val="PLANO PESSOAL"/>
      <sheetName val="CADASTRO"/>
      <sheetName val="Relatorio SAPO"/>
      <sheetName val="FOLHA"/>
      <sheetName val="CENTRODECUSTO"/>
      <sheetName val="CC"/>
      <sheetName val="Plan2"/>
      <sheetName val="Plan3"/>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3">
    <tabColor rgb="FF00B0F0"/>
  </sheetPr>
  <dimension ref="A2:D196"/>
  <sheetViews>
    <sheetView workbookViewId="0">
      <selection activeCell="C7" sqref="C7"/>
    </sheetView>
  </sheetViews>
  <sheetFormatPr defaultColWidth="9.109375" defaultRowHeight="14.4" x14ac:dyDescent="0.3"/>
  <cols>
    <col min="1" max="1" width="39.44140625" style="2" customWidth="1"/>
    <col min="2" max="4" width="14.5546875" style="2" customWidth="1"/>
    <col min="5" max="16384" width="9.109375" style="3"/>
  </cols>
  <sheetData>
    <row r="2" spans="1:4" x14ac:dyDescent="0.3">
      <c r="A2" s="1" t="s">
        <v>0</v>
      </c>
      <c r="B2" s="47">
        <v>5500071140</v>
      </c>
    </row>
    <row r="3" spans="1:4" x14ac:dyDescent="0.3">
      <c r="A3" s="1" t="s">
        <v>1</v>
      </c>
      <c r="B3" s="48">
        <v>44013</v>
      </c>
    </row>
    <row r="4" spans="1:4" x14ac:dyDescent="0.3">
      <c r="A4" s="1" t="s">
        <v>2</v>
      </c>
      <c r="B4" s="48">
        <v>44915</v>
      </c>
    </row>
    <row r="5" spans="1:4" x14ac:dyDescent="0.3">
      <c r="B5" s="4"/>
    </row>
    <row r="6" spans="1:4" x14ac:dyDescent="0.3">
      <c r="A6" s="3"/>
      <c r="B6" s="5" t="s">
        <v>3</v>
      </c>
      <c r="C6" s="5" t="s">
        <v>4</v>
      </c>
      <c r="D6" s="5" t="s">
        <v>5</v>
      </c>
    </row>
    <row r="7" spans="1:4" ht="28.8" x14ac:dyDescent="0.3">
      <c r="A7" s="52" t="s">
        <v>6</v>
      </c>
      <c r="B7" s="49">
        <v>44745</v>
      </c>
      <c r="C7" s="50">
        <f>B7+6</f>
        <v>44751</v>
      </c>
      <c r="D7" s="51">
        <v>1</v>
      </c>
    </row>
    <row r="8" spans="1:4" x14ac:dyDescent="0.3">
      <c r="A8" s="3"/>
      <c r="B8" s="50">
        <f t="shared" ref="B8:B71" si="0">B7+7</f>
        <v>44752</v>
      </c>
      <c r="C8" s="50">
        <f t="shared" ref="C8:C71" si="1">C7+7</f>
        <v>44758</v>
      </c>
      <c r="D8" s="51">
        <f t="shared" ref="D8:D71" si="2">D7+1</f>
        <v>2</v>
      </c>
    </row>
    <row r="9" spans="1:4" x14ac:dyDescent="0.3">
      <c r="A9" s="3"/>
      <c r="B9" s="50">
        <f t="shared" si="0"/>
        <v>44759</v>
      </c>
      <c r="C9" s="50">
        <f t="shared" si="1"/>
        <v>44765</v>
      </c>
      <c r="D9" s="51">
        <f t="shared" si="2"/>
        <v>3</v>
      </c>
    </row>
    <row r="10" spans="1:4" x14ac:dyDescent="0.3">
      <c r="A10" s="3"/>
      <c r="B10" s="50">
        <f t="shared" si="0"/>
        <v>44766</v>
      </c>
      <c r="C10" s="50">
        <f t="shared" si="1"/>
        <v>44772</v>
      </c>
      <c r="D10" s="51">
        <f t="shared" si="2"/>
        <v>4</v>
      </c>
    </row>
    <row r="11" spans="1:4" x14ac:dyDescent="0.3">
      <c r="A11" s="3"/>
      <c r="B11" s="50">
        <f t="shared" si="0"/>
        <v>44773</v>
      </c>
      <c r="C11" s="50">
        <f t="shared" si="1"/>
        <v>44779</v>
      </c>
      <c r="D11" s="51">
        <f t="shared" si="2"/>
        <v>5</v>
      </c>
    </row>
    <row r="12" spans="1:4" x14ac:dyDescent="0.3">
      <c r="A12" s="3"/>
      <c r="B12" s="50">
        <f t="shared" si="0"/>
        <v>44780</v>
      </c>
      <c r="C12" s="50">
        <f t="shared" si="1"/>
        <v>44786</v>
      </c>
      <c r="D12" s="51">
        <f t="shared" si="2"/>
        <v>6</v>
      </c>
    </row>
    <row r="13" spans="1:4" x14ac:dyDescent="0.3">
      <c r="A13" s="3"/>
      <c r="B13" s="50">
        <f t="shared" si="0"/>
        <v>44787</v>
      </c>
      <c r="C13" s="50">
        <f t="shared" si="1"/>
        <v>44793</v>
      </c>
      <c r="D13" s="51">
        <f t="shared" si="2"/>
        <v>7</v>
      </c>
    </row>
    <row r="14" spans="1:4" x14ac:dyDescent="0.3">
      <c r="A14" s="3"/>
      <c r="B14" s="50">
        <f t="shared" si="0"/>
        <v>44794</v>
      </c>
      <c r="C14" s="50">
        <f t="shared" si="1"/>
        <v>44800</v>
      </c>
      <c r="D14" s="51">
        <f t="shared" si="2"/>
        <v>8</v>
      </c>
    </row>
    <row r="15" spans="1:4" x14ac:dyDescent="0.3">
      <c r="A15" s="3"/>
      <c r="B15" s="50">
        <f t="shared" si="0"/>
        <v>44801</v>
      </c>
      <c r="C15" s="50">
        <f t="shared" si="1"/>
        <v>44807</v>
      </c>
      <c r="D15" s="51">
        <f t="shared" si="2"/>
        <v>9</v>
      </c>
    </row>
    <row r="16" spans="1:4" x14ac:dyDescent="0.3">
      <c r="A16" s="3"/>
      <c r="B16" s="50">
        <f t="shared" si="0"/>
        <v>44808</v>
      </c>
      <c r="C16" s="50">
        <f t="shared" si="1"/>
        <v>44814</v>
      </c>
      <c r="D16" s="51">
        <f t="shared" si="2"/>
        <v>10</v>
      </c>
    </row>
    <row r="17" spans="1:4" x14ac:dyDescent="0.3">
      <c r="A17" s="3"/>
      <c r="B17" s="50">
        <f t="shared" si="0"/>
        <v>44815</v>
      </c>
      <c r="C17" s="50">
        <f t="shared" si="1"/>
        <v>44821</v>
      </c>
      <c r="D17" s="51">
        <f t="shared" si="2"/>
        <v>11</v>
      </c>
    </row>
    <row r="18" spans="1:4" x14ac:dyDescent="0.3">
      <c r="A18" s="3"/>
      <c r="B18" s="50">
        <f t="shared" si="0"/>
        <v>44822</v>
      </c>
      <c r="C18" s="50">
        <f t="shared" si="1"/>
        <v>44828</v>
      </c>
      <c r="D18" s="51">
        <f t="shared" si="2"/>
        <v>12</v>
      </c>
    </row>
    <row r="19" spans="1:4" x14ac:dyDescent="0.3">
      <c r="A19" s="3"/>
      <c r="B19" s="50">
        <f t="shared" si="0"/>
        <v>44829</v>
      </c>
      <c r="C19" s="50">
        <f t="shared" si="1"/>
        <v>44835</v>
      </c>
      <c r="D19" s="51">
        <f t="shared" si="2"/>
        <v>13</v>
      </c>
    </row>
    <row r="20" spans="1:4" x14ac:dyDescent="0.3">
      <c r="A20" s="3"/>
      <c r="B20" s="50">
        <f t="shared" si="0"/>
        <v>44836</v>
      </c>
      <c r="C20" s="50">
        <f t="shared" si="1"/>
        <v>44842</v>
      </c>
      <c r="D20" s="51">
        <f t="shared" si="2"/>
        <v>14</v>
      </c>
    </row>
    <row r="21" spans="1:4" x14ac:dyDescent="0.3">
      <c r="A21" s="3"/>
      <c r="B21" s="50">
        <f t="shared" si="0"/>
        <v>44843</v>
      </c>
      <c r="C21" s="50">
        <f t="shared" si="1"/>
        <v>44849</v>
      </c>
      <c r="D21" s="51">
        <f t="shared" si="2"/>
        <v>15</v>
      </c>
    </row>
    <row r="22" spans="1:4" x14ac:dyDescent="0.3">
      <c r="A22" s="3"/>
      <c r="B22" s="50">
        <f t="shared" si="0"/>
        <v>44850</v>
      </c>
      <c r="C22" s="50">
        <f t="shared" si="1"/>
        <v>44856</v>
      </c>
      <c r="D22" s="51">
        <f t="shared" si="2"/>
        <v>16</v>
      </c>
    </row>
    <row r="23" spans="1:4" x14ac:dyDescent="0.3">
      <c r="A23" s="3"/>
      <c r="B23" s="50">
        <f t="shared" si="0"/>
        <v>44857</v>
      </c>
      <c r="C23" s="50">
        <f t="shared" si="1"/>
        <v>44863</v>
      </c>
      <c r="D23" s="51">
        <f t="shared" si="2"/>
        <v>17</v>
      </c>
    </row>
    <row r="24" spans="1:4" x14ac:dyDescent="0.3">
      <c r="A24" s="3"/>
      <c r="B24" s="50">
        <f t="shared" si="0"/>
        <v>44864</v>
      </c>
      <c r="C24" s="50">
        <f t="shared" si="1"/>
        <v>44870</v>
      </c>
      <c r="D24" s="51">
        <f t="shared" si="2"/>
        <v>18</v>
      </c>
    </row>
    <row r="25" spans="1:4" x14ac:dyDescent="0.3">
      <c r="A25" s="3"/>
      <c r="B25" s="50">
        <f t="shared" si="0"/>
        <v>44871</v>
      </c>
      <c r="C25" s="50">
        <f t="shared" si="1"/>
        <v>44877</v>
      </c>
      <c r="D25" s="51">
        <f t="shared" si="2"/>
        <v>19</v>
      </c>
    </row>
    <row r="26" spans="1:4" x14ac:dyDescent="0.3">
      <c r="A26" s="3"/>
      <c r="B26" s="50">
        <f t="shared" si="0"/>
        <v>44878</v>
      </c>
      <c r="C26" s="50">
        <f t="shared" si="1"/>
        <v>44884</v>
      </c>
      <c r="D26" s="51">
        <f t="shared" si="2"/>
        <v>20</v>
      </c>
    </row>
    <row r="27" spans="1:4" x14ac:dyDescent="0.3">
      <c r="A27" s="3"/>
      <c r="B27" s="50">
        <f t="shared" si="0"/>
        <v>44885</v>
      </c>
      <c r="C27" s="50">
        <f t="shared" si="1"/>
        <v>44891</v>
      </c>
      <c r="D27" s="51">
        <f t="shared" si="2"/>
        <v>21</v>
      </c>
    </row>
    <row r="28" spans="1:4" x14ac:dyDescent="0.3">
      <c r="A28" s="3"/>
      <c r="B28" s="50">
        <f t="shared" si="0"/>
        <v>44892</v>
      </c>
      <c r="C28" s="50">
        <f t="shared" si="1"/>
        <v>44898</v>
      </c>
      <c r="D28" s="51">
        <f t="shared" si="2"/>
        <v>22</v>
      </c>
    </row>
    <row r="29" spans="1:4" x14ac:dyDescent="0.3">
      <c r="A29" s="3"/>
      <c r="B29" s="50">
        <f t="shared" si="0"/>
        <v>44899</v>
      </c>
      <c r="C29" s="50">
        <f t="shared" si="1"/>
        <v>44905</v>
      </c>
      <c r="D29" s="51">
        <f t="shared" si="2"/>
        <v>23</v>
      </c>
    </row>
    <row r="30" spans="1:4" x14ac:dyDescent="0.3">
      <c r="A30" s="3"/>
      <c r="B30" s="50">
        <f t="shared" si="0"/>
        <v>44906</v>
      </c>
      <c r="C30" s="50">
        <f t="shared" si="1"/>
        <v>44912</v>
      </c>
      <c r="D30" s="51">
        <f t="shared" si="2"/>
        <v>24</v>
      </c>
    </row>
    <row r="31" spans="1:4" x14ac:dyDescent="0.3">
      <c r="A31" s="3"/>
      <c r="B31" s="50">
        <f t="shared" si="0"/>
        <v>44913</v>
      </c>
      <c r="C31" s="50">
        <f t="shared" si="1"/>
        <v>44919</v>
      </c>
      <c r="D31" s="51">
        <f t="shared" si="2"/>
        <v>25</v>
      </c>
    </row>
    <row r="32" spans="1:4" x14ac:dyDescent="0.3">
      <c r="A32" s="3"/>
      <c r="B32" s="50">
        <f t="shared" si="0"/>
        <v>44920</v>
      </c>
      <c r="C32" s="50">
        <f t="shared" si="1"/>
        <v>44926</v>
      </c>
      <c r="D32" s="51">
        <f t="shared" si="2"/>
        <v>26</v>
      </c>
    </row>
    <row r="33" spans="1:4" x14ac:dyDescent="0.3">
      <c r="A33" s="3"/>
      <c r="B33" s="50">
        <f t="shared" si="0"/>
        <v>44927</v>
      </c>
      <c r="C33" s="50">
        <f t="shared" si="1"/>
        <v>44933</v>
      </c>
      <c r="D33" s="51">
        <f t="shared" si="2"/>
        <v>27</v>
      </c>
    </row>
    <row r="34" spans="1:4" x14ac:dyDescent="0.3">
      <c r="A34" s="3"/>
      <c r="B34" s="50">
        <f t="shared" si="0"/>
        <v>44934</v>
      </c>
      <c r="C34" s="50">
        <f t="shared" si="1"/>
        <v>44940</v>
      </c>
      <c r="D34" s="51">
        <f t="shared" si="2"/>
        <v>28</v>
      </c>
    </row>
    <row r="35" spans="1:4" x14ac:dyDescent="0.3">
      <c r="A35" s="3"/>
      <c r="B35" s="50">
        <f t="shared" si="0"/>
        <v>44941</v>
      </c>
      <c r="C35" s="50">
        <f t="shared" si="1"/>
        <v>44947</v>
      </c>
      <c r="D35" s="51">
        <f t="shared" si="2"/>
        <v>29</v>
      </c>
    </row>
    <row r="36" spans="1:4" x14ac:dyDescent="0.3">
      <c r="A36" s="3"/>
      <c r="B36" s="50">
        <f t="shared" si="0"/>
        <v>44948</v>
      </c>
      <c r="C36" s="50">
        <f t="shared" si="1"/>
        <v>44954</v>
      </c>
      <c r="D36" s="51">
        <f t="shared" si="2"/>
        <v>30</v>
      </c>
    </row>
    <row r="37" spans="1:4" x14ac:dyDescent="0.3">
      <c r="A37" s="3"/>
      <c r="B37" s="50">
        <f t="shared" si="0"/>
        <v>44955</v>
      </c>
      <c r="C37" s="50">
        <f t="shared" si="1"/>
        <v>44961</v>
      </c>
      <c r="D37" s="51">
        <f t="shared" si="2"/>
        <v>31</v>
      </c>
    </row>
    <row r="38" spans="1:4" x14ac:dyDescent="0.3">
      <c r="A38" s="3"/>
      <c r="B38" s="50">
        <f t="shared" si="0"/>
        <v>44962</v>
      </c>
      <c r="C38" s="50">
        <f t="shared" si="1"/>
        <v>44968</v>
      </c>
      <c r="D38" s="51">
        <f t="shared" si="2"/>
        <v>32</v>
      </c>
    </row>
    <row r="39" spans="1:4" x14ac:dyDescent="0.3">
      <c r="A39" s="3"/>
      <c r="B39" s="50">
        <f t="shared" si="0"/>
        <v>44969</v>
      </c>
      <c r="C39" s="50">
        <f t="shared" si="1"/>
        <v>44975</v>
      </c>
      <c r="D39" s="51">
        <f t="shared" si="2"/>
        <v>33</v>
      </c>
    </row>
    <row r="40" spans="1:4" x14ac:dyDescent="0.3">
      <c r="A40" s="3"/>
      <c r="B40" s="50">
        <f t="shared" si="0"/>
        <v>44976</v>
      </c>
      <c r="C40" s="50">
        <f t="shared" si="1"/>
        <v>44982</v>
      </c>
      <c r="D40" s="51">
        <f t="shared" si="2"/>
        <v>34</v>
      </c>
    </row>
    <row r="41" spans="1:4" x14ac:dyDescent="0.3">
      <c r="A41" s="3"/>
      <c r="B41" s="50">
        <f t="shared" si="0"/>
        <v>44983</v>
      </c>
      <c r="C41" s="50">
        <f t="shared" si="1"/>
        <v>44989</v>
      </c>
      <c r="D41" s="51">
        <f t="shared" si="2"/>
        <v>35</v>
      </c>
    </row>
    <row r="42" spans="1:4" x14ac:dyDescent="0.3">
      <c r="A42" s="3"/>
      <c r="B42" s="50">
        <f t="shared" si="0"/>
        <v>44990</v>
      </c>
      <c r="C42" s="50">
        <f t="shared" si="1"/>
        <v>44996</v>
      </c>
      <c r="D42" s="51">
        <f t="shared" si="2"/>
        <v>36</v>
      </c>
    </row>
    <row r="43" spans="1:4" x14ac:dyDescent="0.3">
      <c r="A43" s="3"/>
      <c r="B43" s="50">
        <f t="shared" si="0"/>
        <v>44997</v>
      </c>
      <c r="C43" s="50">
        <f t="shared" si="1"/>
        <v>45003</v>
      </c>
      <c r="D43" s="51">
        <f t="shared" si="2"/>
        <v>37</v>
      </c>
    </row>
    <row r="44" spans="1:4" x14ac:dyDescent="0.3">
      <c r="B44" s="50">
        <f t="shared" si="0"/>
        <v>45004</v>
      </c>
      <c r="C44" s="50">
        <f t="shared" si="1"/>
        <v>45010</v>
      </c>
      <c r="D44" s="51">
        <f t="shared" si="2"/>
        <v>38</v>
      </c>
    </row>
    <row r="45" spans="1:4" x14ac:dyDescent="0.3">
      <c r="B45" s="50">
        <f t="shared" si="0"/>
        <v>45011</v>
      </c>
      <c r="C45" s="50">
        <f t="shared" si="1"/>
        <v>45017</v>
      </c>
      <c r="D45" s="51">
        <f t="shared" si="2"/>
        <v>39</v>
      </c>
    </row>
    <row r="46" spans="1:4" x14ac:dyDescent="0.3">
      <c r="B46" s="50">
        <f t="shared" si="0"/>
        <v>45018</v>
      </c>
      <c r="C46" s="50">
        <f t="shared" si="1"/>
        <v>45024</v>
      </c>
      <c r="D46" s="51">
        <f t="shared" si="2"/>
        <v>40</v>
      </c>
    </row>
    <row r="47" spans="1:4" x14ac:dyDescent="0.3">
      <c r="B47" s="50">
        <f t="shared" si="0"/>
        <v>45025</v>
      </c>
      <c r="C47" s="50">
        <f t="shared" si="1"/>
        <v>45031</v>
      </c>
      <c r="D47" s="51">
        <f t="shared" si="2"/>
        <v>41</v>
      </c>
    </row>
    <row r="48" spans="1:4" x14ac:dyDescent="0.3">
      <c r="B48" s="50">
        <f t="shared" si="0"/>
        <v>45032</v>
      </c>
      <c r="C48" s="50">
        <f t="shared" si="1"/>
        <v>45038</v>
      </c>
      <c r="D48" s="51">
        <f t="shared" si="2"/>
        <v>42</v>
      </c>
    </row>
    <row r="49" spans="2:4" x14ac:dyDescent="0.3">
      <c r="B49" s="50">
        <f t="shared" si="0"/>
        <v>45039</v>
      </c>
      <c r="C49" s="50">
        <f t="shared" si="1"/>
        <v>45045</v>
      </c>
      <c r="D49" s="51">
        <f t="shared" si="2"/>
        <v>43</v>
      </c>
    </row>
    <row r="50" spans="2:4" x14ac:dyDescent="0.3">
      <c r="B50" s="50">
        <f t="shared" si="0"/>
        <v>45046</v>
      </c>
      <c r="C50" s="50">
        <f t="shared" si="1"/>
        <v>45052</v>
      </c>
      <c r="D50" s="51">
        <f t="shared" si="2"/>
        <v>44</v>
      </c>
    </row>
    <row r="51" spans="2:4" x14ac:dyDescent="0.3">
      <c r="B51" s="50">
        <f t="shared" si="0"/>
        <v>45053</v>
      </c>
      <c r="C51" s="50">
        <f t="shared" si="1"/>
        <v>45059</v>
      </c>
      <c r="D51" s="51">
        <f t="shared" si="2"/>
        <v>45</v>
      </c>
    </row>
    <row r="52" spans="2:4" x14ac:dyDescent="0.3">
      <c r="B52" s="50">
        <f t="shared" si="0"/>
        <v>45060</v>
      </c>
      <c r="C52" s="50">
        <f t="shared" si="1"/>
        <v>45066</v>
      </c>
      <c r="D52" s="51">
        <f t="shared" si="2"/>
        <v>46</v>
      </c>
    </row>
    <row r="53" spans="2:4" x14ac:dyDescent="0.3">
      <c r="B53" s="50">
        <f t="shared" si="0"/>
        <v>45067</v>
      </c>
      <c r="C53" s="50">
        <f t="shared" si="1"/>
        <v>45073</v>
      </c>
      <c r="D53" s="51">
        <f t="shared" si="2"/>
        <v>47</v>
      </c>
    </row>
    <row r="54" spans="2:4" x14ac:dyDescent="0.3">
      <c r="B54" s="50">
        <f t="shared" si="0"/>
        <v>45074</v>
      </c>
      <c r="C54" s="50">
        <f t="shared" si="1"/>
        <v>45080</v>
      </c>
      <c r="D54" s="51">
        <f t="shared" si="2"/>
        <v>48</v>
      </c>
    </row>
    <row r="55" spans="2:4" x14ac:dyDescent="0.3">
      <c r="B55" s="50">
        <f t="shared" si="0"/>
        <v>45081</v>
      </c>
      <c r="C55" s="50">
        <f t="shared" si="1"/>
        <v>45087</v>
      </c>
      <c r="D55" s="51">
        <f t="shared" si="2"/>
        <v>49</v>
      </c>
    </row>
    <row r="56" spans="2:4" x14ac:dyDescent="0.3">
      <c r="B56" s="50">
        <f t="shared" si="0"/>
        <v>45088</v>
      </c>
      <c r="C56" s="50">
        <f t="shared" si="1"/>
        <v>45094</v>
      </c>
      <c r="D56" s="51">
        <f t="shared" si="2"/>
        <v>50</v>
      </c>
    </row>
    <row r="57" spans="2:4" x14ac:dyDescent="0.3">
      <c r="B57" s="50">
        <f t="shared" si="0"/>
        <v>45095</v>
      </c>
      <c r="C57" s="50">
        <f t="shared" si="1"/>
        <v>45101</v>
      </c>
      <c r="D57" s="51">
        <f t="shared" si="2"/>
        <v>51</v>
      </c>
    </row>
    <row r="58" spans="2:4" x14ac:dyDescent="0.3">
      <c r="B58" s="50">
        <f t="shared" si="0"/>
        <v>45102</v>
      </c>
      <c r="C58" s="50">
        <f t="shared" si="1"/>
        <v>45108</v>
      </c>
      <c r="D58" s="51">
        <f t="shared" si="2"/>
        <v>52</v>
      </c>
    </row>
    <row r="59" spans="2:4" x14ac:dyDescent="0.3">
      <c r="B59" s="50">
        <f t="shared" si="0"/>
        <v>45109</v>
      </c>
      <c r="C59" s="50">
        <f t="shared" si="1"/>
        <v>45115</v>
      </c>
      <c r="D59" s="51">
        <f t="shared" si="2"/>
        <v>53</v>
      </c>
    </row>
    <row r="60" spans="2:4" x14ac:dyDescent="0.3">
      <c r="B60" s="50">
        <f t="shared" si="0"/>
        <v>45116</v>
      </c>
      <c r="C60" s="50">
        <f t="shared" si="1"/>
        <v>45122</v>
      </c>
      <c r="D60" s="51">
        <f t="shared" si="2"/>
        <v>54</v>
      </c>
    </row>
    <row r="61" spans="2:4" x14ac:dyDescent="0.3">
      <c r="B61" s="50">
        <f t="shared" si="0"/>
        <v>45123</v>
      </c>
      <c r="C61" s="50">
        <f t="shared" si="1"/>
        <v>45129</v>
      </c>
      <c r="D61" s="51">
        <f t="shared" si="2"/>
        <v>55</v>
      </c>
    </row>
    <row r="62" spans="2:4" x14ac:dyDescent="0.3">
      <c r="B62" s="50">
        <f t="shared" si="0"/>
        <v>45130</v>
      </c>
      <c r="C62" s="50">
        <f t="shared" si="1"/>
        <v>45136</v>
      </c>
      <c r="D62" s="51">
        <f t="shared" si="2"/>
        <v>56</v>
      </c>
    </row>
    <row r="63" spans="2:4" x14ac:dyDescent="0.3">
      <c r="B63" s="50">
        <f t="shared" si="0"/>
        <v>45137</v>
      </c>
      <c r="C63" s="50">
        <f t="shared" si="1"/>
        <v>45143</v>
      </c>
      <c r="D63" s="51">
        <f t="shared" si="2"/>
        <v>57</v>
      </c>
    </row>
    <row r="64" spans="2:4" x14ac:dyDescent="0.3">
      <c r="B64" s="50">
        <f t="shared" si="0"/>
        <v>45144</v>
      </c>
      <c r="C64" s="50">
        <f t="shared" si="1"/>
        <v>45150</v>
      </c>
      <c r="D64" s="51">
        <f t="shared" si="2"/>
        <v>58</v>
      </c>
    </row>
    <row r="65" spans="2:4" x14ac:dyDescent="0.3">
      <c r="B65" s="50">
        <f t="shared" si="0"/>
        <v>45151</v>
      </c>
      <c r="C65" s="50">
        <f t="shared" si="1"/>
        <v>45157</v>
      </c>
      <c r="D65" s="51">
        <f t="shared" si="2"/>
        <v>59</v>
      </c>
    </row>
    <row r="66" spans="2:4" x14ac:dyDescent="0.3">
      <c r="B66" s="50">
        <f t="shared" si="0"/>
        <v>45158</v>
      </c>
      <c r="C66" s="50">
        <f t="shared" si="1"/>
        <v>45164</v>
      </c>
      <c r="D66" s="51">
        <f t="shared" si="2"/>
        <v>60</v>
      </c>
    </row>
    <row r="67" spans="2:4" x14ac:dyDescent="0.3">
      <c r="B67" s="50">
        <f t="shared" si="0"/>
        <v>45165</v>
      </c>
      <c r="C67" s="50">
        <f t="shared" si="1"/>
        <v>45171</v>
      </c>
      <c r="D67" s="51">
        <f t="shared" si="2"/>
        <v>61</v>
      </c>
    </row>
    <row r="68" spans="2:4" x14ac:dyDescent="0.3">
      <c r="B68" s="50">
        <f t="shared" si="0"/>
        <v>45172</v>
      </c>
      <c r="C68" s="50">
        <f t="shared" si="1"/>
        <v>45178</v>
      </c>
      <c r="D68" s="51">
        <f t="shared" si="2"/>
        <v>62</v>
      </c>
    </row>
    <row r="69" spans="2:4" x14ac:dyDescent="0.3">
      <c r="B69" s="50">
        <f t="shared" si="0"/>
        <v>45179</v>
      </c>
      <c r="C69" s="50">
        <f t="shared" si="1"/>
        <v>45185</v>
      </c>
      <c r="D69" s="51">
        <f t="shared" si="2"/>
        <v>63</v>
      </c>
    </row>
    <row r="70" spans="2:4" x14ac:dyDescent="0.3">
      <c r="B70" s="50">
        <f t="shared" si="0"/>
        <v>45186</v>
      </c>
      <c r="C70" s="50">
        <f t="shared" si="1"/>
        <v>45192</v>
      </c>
      <c r="D70" s="51">
        <f t="shared" si="2"/>
        <v>64</v>
      </c>
    </row>
    <row r="71" spans="2:4" x14ac:dyDescent="0.3">
      <c r="B71" s="50">
        <f t="shared" si="0"/>
        <v>45193</v>
      </c>
      <c r="C71" s="50">
        <f t="shared" si="1"/>
        <v>45199</v>
      </c>
      <c r="D71" s="51">
        <f t="shared" si="2"/>
        <v>65</v>
      </c>
    </row>
    <row r="72" spans="2:4" x14ac:dyDescent="0.3">
      <c r="B72" s="50">
        <f t="shared" ref="B72:C87" si="3">B71+7</f>
        <v>45200</v>
      </c>
      <c r="C72" s="50">
        <f t="shared" si="3"/>
        <v>45206</v>
      </c>
      <c r="D72" s="51">
        <f t="shared" ref="D72:D135" si="4">D71+1</f>
        <v>66</v>
      </c>
    </row>
    <row r="73" spans="2:4" x14ac:dyDescent="0.3">
      <c r="B73" s="50">
        <f t="shared" si="3"/>
        <v>45207</v>
      </c>
      <c r="C73" s="50">
        <f t="shared" si="3"/>
        <v>45213</v>
      </c>
      <c r="D73" s="51">
        <f t="shared" si="4"/>
        <v>67</v>
      </c>
    </row>
    <row r="74" spans="2:4" x14ac:dyDescent="0.3">
      <c r="B74" s="50">
        <f t="shared" si="3"/>
        <v>45214</v>
      </c>
      <c r="C74" s="50">
        <f t="shared" si="3"/>
        <v>45220</v>
      </c>
      <c r="D74" s="51">
        <f t="shared" si="4"/>
        <v>68</v>
      </c>
    </row>
    <row r="75" spans="2:4" x14ac:dyDescent="0.3">
      <c r="B75" s="50">
        <f t="shared" si="3"/>
        <v>45221</v>
      </c>
      <c r="C75" s="50">
        <f t="shared" si="3"/>
        <v>45227</v>
      </c>
      <c r="D75" s="51">
        <f t="shared" si="4"/>
        <v>69</v>
      </c>
    </row>
    <row r="76" spans="2:4" x14ac:dyDescent="0.3">
      <c r="B76" s="50">
        <f t="shared" si="3"/>
        <v>45228</v>
      </c>
      <c r="C76" s="50">
        <f t="shared" si="3"/>
        <v>45234</v>
      </c>
      <c r="D76" s="51">
        <f t="shared" si="4"/>
        <v>70</v>
      </c>
    </row>
    <row r="77" spans="2:4" x14ac:dyDescent="0.3">
      <c r="B77" s="50">
        <f t="shared" si="3"/>
        <v>45235</v>
      </c>
      <c r="C77" s="50">
        <f t="shared" si="3"/>
        <v>45241</v>
      </c>
      <c r="D77" s="51">
        <f t="shared" si="4"/>
        <v>71</v>
      </c>
    </row>
    <row r="78" spans="2:4" x14ac:dyDescent="0.3">
      <c r="B78" s="50">
        <f t="shared" si="3"/>
        <v>45242</v>
      </c>
      <c r="C78" s="50">
        <f t="shared" si="3"/>
        <v>45248</v>
      </c>
      <c r="D78" s="51">
        <f t="shared" si="4"/>
        <v>72</v>
      </c>
    </row>
    <row r="79" spans="2:4" x14ac:dyDescent="0.3">
      <c r="B79" s="50">
        <f t="shared" si="3"/>
        <v>45249</v>
      </c>
      <c r="C79" s="50">
        <f t="shared" si="3"/>
        <v>45255</v>
      </c>
      <c r="D79" s="51">
        <f t="shared" si="4"/>
        <v>73</v>
      </c>
    </row>
    <row r="80" spans="2:4" x14ac:dyDescent="0.3">
      <c r="B80" s="50">
        <f t="shared" si="3"/>
        <v>45256</v>
      </c>
      <c r="C80" s="50">
        <f t="shared" si="3"/>
        <v>45262</v>
      </c>
      <c r="D80" s="51">
        <f t="shared" si="4"/>
        <v>74</v>
      </c>
    </row>
    <row r="81" spans="2:4" x14ac:dyDescent="0.3">
      <c r="B81" s="50">
        <f t="shared" si="3"/>
        <v>45263</v>
      </c>
      <c r="C81" s="50">
        <f t="shared" si="3"/>
        <v>45269</v>
      </c>
      <c r="D81" s="51">
        <f t="shared" si="4"/>
        <v>75</v>
      </c>
    </row>
    <row r="82" spans="2:4" x14ac:dyDescent="0.3">
      <c r="B82" s="50">
        <f t="shared" si="3"/>
        <v>45270</v>
      </c>
      <c r="C82" s="50">
        <f t="shared" si="3"/>
        <v>45276</v>
      </c>
      <c r="D82" s="51">
        <f t="shared" si="4"/>
        <v>76</v>
      </c>
    </row>
    <row r="83" spans="2:4" x14ac:dyDescent="0.3">
      <c r="B83" s="50">
        <f t="shared" si="3"/>
        <v>45277</v>
      </c>
      <c r="C83" s="50">
        <f t="shared" si="3"/>
        <v>45283</v>
      </c>
      <c r="D83" s="51">
        <f t="shared" si="4"/>
        <v>77</v>
      </c>
    </row>
    <row r="84" spans="2:4" x14ac:dyDescent="0.3">
      <c r="B84" s="50">
        <f t="shared" si="3"/>
        <v>45284</v>
      </c>
      <c r="C84" s="50">
        <f t="shared" si="3"/>
        <v>45290</v>
      </c>
      <c r="D84" s="51">
        <f t="shared" si="4"/>
        <v>78</v>
      </c>
    </row>
    <row r="85" spans="2:4" x14ac:dyDescent="0.3">
      <c r="B85" s="50">
        <f t="shared" si="3"/>
        <v>45291</v>
      </c>
      <c r="C85" s="50">
        <f t="shared" si="3"/>
        <v>45297</v>
      </c>
      <c r="D85" s="51">
        <f t="shared" si="4"/>
        <v>79</v>
      </c>
    </row>
    <row r="86" spans="2:4" x14ac:dyDescent="0.3">
      <c r="B86" s="50">
        <f t="shared" si="3"/>
        <v>45298</v>
      </c>
      <c r="C86" s="50">
        <f t="shared" si="3"/>
        <v>45304</v>
      </c>
      <c r="D86" s="51">
        <f t="shared" si="4"/>
        <v>80</v>
      </c>
    </row>
    <row r="87" spans="2:4" x14ac:dyDescent="0.3">
      <c r="B87" s="50">
        <f t="shared" si="3"/>
        <v>45305</v>
      </c>
      <c r="C87" s="50">
        <f t="shared" si="3"/>
        <v>45311</v>
      </c>
      <c r="D87" s="51">
        <f t="shared" si="4"/>
        <v>81</v>
      </c>
    </row>
    <row r="88" spans="2:4" x14ac:dyDescent="0.3">
      <c r="B88" s="50">
        <f t="shared" ref="B88:C103" si="5">B87+7</f>
        <v>45312</v>
      </c>
      <c r="C88" s="50">
        <f t="shared" si="5"/>
        <v>45318</v>
      </c>
      <c r="D88" s="51">
        <f t="shared" si="4"/>
        <v>82</v>
      </c>
    </row>
    <row r="89" spans="2:4" x14ac:dyDescent="0.3">
      <c r="B89" s="50">
        <f t="shared" si="5"/>
        <v>45319</v>
      </c>
      <c r="C89" s="50">
        <f t="shared" si="5"/>
        <v>45325</v>
      </c>
      <c r="D89" s="51">
        <f t="shared" si="4"/>
        <v>83</v>
      </c>
    </row>
    <row r="90" spans="2:4" x14ac:dyDescent="0.3">
      <c r="B90" s="50">
        <f t="shared" si="5"/>
        <v>45326</v>
      </c>
      <c r="C90" s="50">
        <f t="shared" si="5"/>
        <v>45332</v>
      </c>
      <c r="D90" s="51">
        <f t="shared" si="4"/>
        <v>84</v>
      </c>
    </row>
    <row r="91" spans="2:4" x14ac:dyDescent="0.3">
      <c r="B91" s="50">
        <f t="shared" si="5"/>
        <v>45333</v>
      </c>
      <c r="C91" s="50">
        <f t="shared" si="5"/>
        <v>45339</v>
      </c>
      <c r="D91" s="51">
        <f t="shared" si="4"/>
        <v>85</v>
      </c>
    </row>
    <row r="92" spans="2:4" x14ac:dyDescent="0.3">
      <c r="B92" s="50">
        <f t="shared" si="5"/>
        <v>45340</v>
      </c>
      <c r="C92" s="50">
        <f t="shared" si="5"/>
        <v>45346</v>
      </c>
      <c r="D92" s="51">
        <f t="shared" si="4"/>
        <v>86</v>
      </c>
    </row>
    <row r="93" spans="2:4" x14ac:dyDescent="0.3">
      <c r="B93" s="50">
        <f t="shared" si="5"/>
        <v>45347</v>
      </c>
      <c r="C93" s="50">
        <f t="shared" si="5"/>
        <v>45353</v>
      </c>
      <c r="D93" s="51">
        <f t="shared" si="4"/>
        <v>87</v>
      </c>
    </row>
    <row r="94" spans="2:4" x14ac:dyDescent="0.3">
      <c r="B94" s="50">
        <f t="shared" si="5"/>
        <v>45354</v>
      </c>
      <c r="C94" s="50">
        <f t="shared" si="5"/>
        <v>45360</v>
      </c>
      <c r="D94" s="51">
        <f t="shared" si="4"/>
        <v>88</v>
      </c>
    </row>
    <row r="95" spans="2:4" x14ac:dyDescent="0.3">
      <c r="B95" s="50">
        <f t="shared" si="5"/>
        <v>45361</v>
      </c>
      <c r="C95" s="50">
        <f t="shared" si="5"/>
        <v>45367</v>
      </c>
      <c r="D95" s="51">
        <f t="shared" si="4"/>
        <v>89</v>
      </c>
    </row>
    <row r="96" spans="2:4" x14ac:dyDescent="0.3">
      <c r="B96" s="50">
        <f t="shared" si="5"/>
        <v>45368</v>
      </c>
      <c r="C96" s="50">
        <f t="shared" si="5"/>
        <v>45374</v>
      </c>
      <c r="D96" s="51">
        <f t="shared" si="4"/>
        <v>90</v>
      </c>
    </row>
    <row r="97" spans="2:4" x14ac:dyDescent="0.3">
      <c r="B97" s="50">
        <f t="shared" si="5"/>
        <v>45375</v>
      </c>
      <c r="C97" s="50">
        <f t="shared" si="5"/>
        <v>45381</v>
      </c>
      <c r="D97" s="51">
        <f t="shared" si="4"/>
        <v>91</v>
      </c>
    </row>
    <row r="98" spans="2:4" x14ac:dyDescent="0.3">
      <c r="B98" s="50">
        <f t="shared" si="5"/>
        <v>45382</v>
      </c>
      <c r="C98" s="50">
        <f t="shared" si="5"/>
        <v>45388</v>
      </c>
      <c r="D98" s="51">
        <f t="shared" si="4"/>
        <v>92</v>
      </c>
    </row>
    <row r="99" spans="2:4" x14ac:dyDescent="0.3">
      <c r="B99" s="50">
        <f t="shared" si="5"/>
        <v>45389</v>
      </c>
      <c r="C99" s="50">
        <f t="shared" si="5"/>
        <v>45395</v>
      </c>
      <c r="D99" s="51">
        <f t="shared" si="4"/>
        <v>93</v>
      </c>
    </row>
    <row r="100" spans="2:4" x14ac:dyDescent="0.3">
      <c r="B100" s="50">
        <f t="shared" si="5"/>
        <v>45396</v>
      </c>
      <c r="C100" s="50">
        <f t="shared" si="5"/>
        <v>45402</v>
      </c>
      <c r="D100" s="51">
        <f t="shared" si="4"/>
        <v>94</v>
      </c>
    </row>
    <row r="101" spans="2:4" x14ac:dyDescent="0.3">
      <c r="B101" s="50">
        <f t="shared" si="5"/>
        <v>45403</v>
      </c>
      <c r="C101" s="50">
        <f t="shared" si="5"/>
        <v>45409</v>
      </c>
      <c r="D101" s="51">
        <f t="shared" si="4"/>
        <v>95</v>
      </c>
    </row>
    <row r="102" spans="2:4" x14ac:dyDescent="0.3">
      <c r="B102" s="50">
        <f t="shared" si="5"/>
        <v>45410</v>
      </c>
      <c r="C102" s="50">
        <f t="shared" si="5"/>
        <v>45416</v>
      </c>
      <c r="D102" s="51">
        <f t="shared" si="4"/>
        <v>96</v>
      </c>
    </row>
    <row r="103" spans="2:4" x14ac:dyDescent="0.3">
      <c r="B103" s="50">
        <f t="shared" si="5"/>
        <v>45417</v>
      </c>
      <c r="C103" s="50">
        <f t="shared" si="5"/>
        <v>45423</v>
      </c>
      <c r="D103" s="51">
        <f t="shared" si="4"/>
        <v>97</v>
      </c>
    </row>
    <row r="104" spans="2:4" x14ac:dyDescent="0.3">
      <c r="B104" s="50">
        <f t="shared" ref="B104:C119" si="6">B103+7</f>
        <v>45424</v>
      </c>
      <c r="C104" s="50">
        <f t="shared" si="6"/>
        <v>45430</v>
      </c>
      <c r="D104" s="51">
        <f t="shared" si="4"/>
        <v>98</v>
      </c>
    </row>
    <row r="105" spans="2:4" x14ac:dyDescent="0.3">
      <c r="B105" s="50">
        <f t="shared" si="6"/>
        <v>45431</v>
      </c>
      <c r="C105" s="50">
        <f t="shared" si="6"/>
        <v>45437</v>
      </c>
      <c r="D105" s="51">
        <f t="shared" si="4"/>
        <v>99</v>
      </c>
    </row>
    <row r="106" spans="2:4" x14ac:dyDescent="0.3">
      <c r="B106" s="50">
        <f t="shared" si="6"/>
        <v>45438</v>
      </c>
      <c r="C106" s="50">
        <f t="shared" si="6"/>
        <v>45444</v>
      </c>
      <c r="D106" s="51">
        <f t="shared" si="4"/>
        <v>100</v>
      </c>
    </row>
    <row r="107" spans="2:4" x14ac:dyDescent="0.3">
      <c r="B107" s="50">
        <f t="shared" si="6"/>
        <v>45445</v>
      </c>
      <c r="C107" s="50">
        <f t="shared" si="6"/>
        <v>45451</v>
      </c>
      <c r="D107" s="51">
        <f t="shared" si="4"/>
        <v>101</v>
      </c>
    </row>
    <row r="108" spans="2:4" x14ac:dyDescent="0.3">
      <c r="B108" s="50">
        <f t="shared" si="6"/>
        <v>45452</v>
      </c>
      <c r="C108" s="50">
        <f t="shared" si="6"/>
        <v>45458</v>
      </c>
      <c r="D108" s="51">
        <f t="shared" si="4"/>
        <v>102</v>
      </c>
    </row>
    <row r="109" spans="2:4" x14ac:dyDescent="0.3">
      <c r="B109" s="50">
        <f t="shared" si="6"/>
        <v>45459</v>
      </c>
      <c r="C109" s="50">
        <f t="shared" si="6"/>
        <v>45465</v>
      </c>
      <c r="D109" s="51">
        <f t="shared" si="4"/>
        <v>103</v>
      </c>
    </row>
    <row r="110" spans="2:4" x14ac:dyDescent="0.3">
      <c r="B110" s="50">
        <f t="shared" si="6"/>
        <v>45466</v>
      </c>
      <c r="C110" s="50">
        <f t="shared" si="6"/>
        <v>45472</v>
      </c>
      <c r="D110" s="51">
        <f t="shared" si="4"/>
        <v>104</v>
      </c>
    </row>
    <row r="111" spans="2:4" x14ac:dyDescent="0.3">
      <c r="B111" s="50">
        <f t="shared" si="6"/>
        <v>45473</v>
      </c>
      <c r="C111" s="50">
        <f t="shared" si="6"/>
        <v>45479</v>
      </c>
      <c r="D111" s="51">
        <f t="shared" si="4"/>
        <v>105</v>
      </c>
    </row>
    <row r="112" spans="2:4" x14ac:dyDescent="0.3">
      <c r="B112" s="50">
        <f t="shared" si="6"/>
        <v>45480</v>
      </c>
      <c r="C112" s="50">
        <f t="shared" si="6"/>
        <v>45486</v>
      </c>
      <c r="D112" s="51">
        <f t="shared" si="4"/>
        <v>106</v>
      </c>
    </row>
    <row r="113" spans="2:4" x14ac:dyDescent="0.3">
      <c r="B113" s="50">
        <f t="shared" si="6"/>
        <v>45487</v>
      </c>
      <c r="C113" s="50">
        <f t="shared" si="6"/>
        <v>45493</v>
      </c>
      <c r="D113" s="51">
        <f t="shared" si="4"/>
        <v>107</v>
      </c>
    </row>
    <row r="114" spans="2:4" x14ac:dyDescent="0.3">
      <c r="B114" s="50">
        <f t="shared" si="6"/>
        <v>45494</v>
      </c>
      <c r="C114" s="50">
        <f t="shared" si="6"/>
        <v>45500</v>
      </c>
      <c r="D114" s="51">
        <f t="shared" si="4"/>
        <v>108</v>
      </c>
    </row>
    <row r="115" spans="2:4" x14ac:dyDescent="0.3">
      <c r="B115" s="50">
        <f t="shared" si="6"/>
        <v>45501</v>
      </c>
      <c r="C115" s="50">
        <f t="shared" si="6"/>
        <v>45507</v>
      </c>
      <c r="D115" s="51">
        <f t="shared" si="4"/>
        <v>109</v>
      </c>
    </row>
    <row r="116" spans="2:4" x14ac:dyDescent="0.3">
      <c r="B116" s="50">
        <f t="shared" si="6"/>
        <v>45508</v>
      </c>
      <c r="C116" s="50">
        <f t="shared" si="6"/>
        <v>45514</v>
      </c>
      <c r="D116" s="51">
        <f t="shared" si="4"/>
        <v>110</v>
      </c>
    </row>
    <row r="117" spans="2:4" x14ac:dyDescent="0.3">
      <c r="B117" s="50">
        <f t="shared" si="6"/>
        <v>45515</v>
      </c>
      <c r="C117" s="50">
        <f t="shared" si="6"/>
        <v>45521</v>
      </c>
      <c r="D117" s="51">
        <f t="shared" si="4"/>
        <v>111</v>
      </c>
    </row>
    <row r="118" spans="2:4" x14ac:dyDescent="0.3">
      <c r="B118" s="50">
        <f t="shared" si="6"/>
        <v>45522</v>
      </c>
      <c r="C118" s="50">
        <f t="shared" si="6"/>
        <v>45528</v>
      </c>
      <c r="D118" s="51">
        <f t="shared" si="4"/>
        <v>112</v>
      </c>
    </row>
    <row r="119" spans="2:4" x14ac:dyDescent="0.3">
      <c r="B119" s="50">
        <f t="shared" si="6"/>
        <v>45529</v>
      </c>
      <c r="C119" s="50">
        <f t="shared" si="6"/>
        <v>45535</v>
      </c>
      <c r="D119" s="51">
        <f t="shared" si="4"/>
        <v>113</v>
      </c>
    </row>
    <row r="120" spans="2:4" x14ac:dyDescent="0.3">
      <c r="B120" s="50">
        <f t="shared" ref="B120:C135" si="7">B119+7</f>
        <v>45536</v>
      </c>
      <c r="C120" s="50">
        <f t="shared" si="7"/>
        <v>45542</v>
      </c>
      <c r="D120" s="51">
        <f t="shared" si="4"/>
        <v>114</v>
      </c>
    </row>
    <row r="121" spans="2:4" x14ac:dyDescent="0.3">
      <c r="B121" s="50">
        <f t="shared" si="7"/>
        <v>45543</v>
      </c>
      <c r="C121" s="50">
        <f t="shared" si="7"/>
        <v>45549</v>
      </c>
      <c r="D121" s="51">
        <f t="shared" si="4"/>
        <v>115</v>
      </c>
    </row>
    <row r="122" spans="2:4" x14ac:dyDescent="0.3">
      <c r="B122" s="50">
        <f t="shared" si="7"/>
        <v>45550</v>
      </c>
      <c r="C122" s="50">
        <f t="shared" si="7"/>
        <v>45556</v>
      </c>
      <c r="D122" s="51">
        <f t="shared" si="4"/>
        <v>116</v>
      </c>
    </row>
    <row r="123" spans="2:4" x14ac:dyDescent="0.3">
      <c r="B123" s="50">
        <f t="shared" si="7"/>
        <v>45557</v>
      </c>
      <c r="C123" s="50">
        <f t="shared" si="7"/>
        <v>45563</v>
      </c>
      <c r="D123" s="51">
        <f t="shared" si="4"/>
        <v>117</v>
      </c>
    </row>
    <row r="124" spans="2:4" x14ac:dyDescent="0.3">
      <c r="B124" s="50">
        <f t="shared" si="7"/>
        <v>45564</v>
      </c>
      <c r="C124" s="50">
        <f t="shared" si="7"/>
        <v>45570</v>
      </c>
      <c r="D124" s="51">
        <f t="shared" si="4"/>
        <v>118</v>
      </c>
    </row>
    <row r="125" spans="2:4" x14ac:dyDescent="0.3">
      <c r="B125" s="50">
        <f t="shared" si="7"/>
        <v>45571</v>
      </c>
      <c r="C125" s="50">
        <f t="shared" si="7"/>
        <v>45577</v>
      </c>
      <c r="D125" s="51">
        <f t="shared" si="4"/>
        <v>119</v>
      </c>
    </row>
    <row r="126" spans="2:4" x14ac:dyDescent="0.3">
      <c r="B126" s="50">
        <f t="shared" si="7"/>
        <v>45578</v>
      </c>
      <c r="C126" s="50">
        <f t="shared" si="7"/>
        <v>45584</v>
      </c>
      <c r="D126" s="51">
        <f t="shared" si="4"/>
        <v>120</v>
      </c>
    </row>
    <row r="127" spans="2:4" x14ac:dyDescent="0.3">
      <c r="B127" s="50">
        <f t="shared" si="7"/>
        <v>45585</v>
      </c>
      <c r="C127" s="50">
        <f t="shared" si="7"/>
        <v>45591</v>
      </c>
      <c r="D127" s="51">
        <f t="shared" si="4"/>
        <v>121</v>
      </c>
    </row>
    <row r="128" spans="2:4" x14ac:dyDescent="0.3">
      <c r="B128" s="50">
        <f t="shared" si="7"/>
        <v>45592</v>
      </c>
      <c r="C128" s="50">
        <f t="shared" si="7"/>
        <v>45598</v>
      </c>
      <c r="D128" s="51">
        <f t="shared" si="4"/>
        <v>122</v>
      </c>
    </row>
    <row r="129" spans="2:4" x14ac:dyDescent="0.3">
      <c r="B129" s="50">
        <f t="shared" si="7"/>
        <v>45599</v>
      </c>
      <c r="C129" s="50">
        <f t="shared" si="7"/>
        <v>45605</v>
      </c>
      <c r="D129" s="51">
        <f t="shared" si="4"/>
        <v>123</v>
      </c>
    </row>
    <row r="130" spans="2:4" x14ac:dyDescent="0.3">
      <c r="B130" s="50">
        <f t="shared" si="7"/>
        <v>45606</v>
      </c>
      <c r="C130" s="50">
        <f t="shared" si="7"/>
        <v>45612</v>
      </c>
      <c r="D130" s="51">
        <f t="shared" si="4"/>
        <v>124</v>
      </c>
    </row>
    <row r="131" spans="2:4" x14ac:dyDescent="0.3">
      <c r="B131" s="50">
        <f t="shared" si="7"/>
        <v>45613</v>
      </c>
      <c r="C131" s="50">
        <f t="shared" si="7"/>
        <v>45619</v>
      </c>
      <c r="D131" s="51">
        <f t="shared" si="4"/>
        <v>125</v>
      </c>
    </row>
    <row r="132" spans="2:4" x14ac:dyDescent="0.3">
      <c r="B132" s="50">
        <f t="shared" si="7"/>
        <v>45620</v>
      </c>
      <c r="C132" s="50">
        <f t="shared" si="7"/>
        <v>45626</v>
      </c>
      <c r="D132" s="51">
        <f t="shared" si="4"/>
        <v>126</v>
      </c>
    </row>
    <row r="133" spans="2:4" x14ac:dyDescent="0.3">
      <c r="B133" s="50">
        <f t="shared" si="7"/>
        <v>45627</v>
      </c>
      <c r="C133" s="50">
        <f t="shared" si="7"/>
        <v>45633</v>
      </c>
      <c r="D133" s="51">
        <f t="shared" si="4"/>
        <v>127</v>
      </c>
    </row>
    <row r="134" spans="2:4" x14ac:dyDescent="0.3">
      <c r="B134" s="50">
        <f t="shared" si="7"/>
        <v>45634</v>
      </c>
      <c r="C134" s="50">
        <f t="shared" si="7"/>
        <v>45640</v>
      </c>
      <c r="D134" s="51">
        <f t="shared" si="4"/>
        <v>128</v>
      </c>
    </row>
    <row r="135" spans="2:4" x14ac:dyDescent="0.3">
      <c r="B135" s="50">
        <f t="shared" si="7"/>
        <v>45641</v>
      </c>
      <c r="C135" s="50">
        <f t="shared" si="7"/>
        <v>45647</v>
      </c>
      <c r="D135" s="51">
        <f t="shared" si="4"/>
        <v>129</v>
      </c>
    </row>
    <row r="136" spans="2:4" x14ac:dyDescent="0.3">
      <c r="B136" s="50">
        <f t="shared" ref="B136:C151" si="8">B135+7</f>
        <v>45648</v>
      </c>
      <c r="C136" s="50">
        <f t="shared" si="8"/>
        <v>45654</v>
      </c>
      <c r="D136" s="51">
        <f t="shared" ref="D136:D196" si="9">D135+1</f>
        <v>130</v>
      </c>
    </row>
    <row r="137" spans="2:4" x14ac:dyDescent="0.3">
      <c r="B137" s="50">
        <f t="shared" si="8"/>
        <v>45655</v>
      </c>
      <c r="C137" s="50">
        <f t="shared" si="8"/>
        <v>45661</v>
      </c>
      <c r="D137" s="51">
        <f t="shared" si="9"/>
        <v>131</v>
      </c>
    </row>
    <row r="138" spans="2:4" x14ac:dyDescent="0.3">
      <c r="B138" s="50">
        <f t="shared" si="8"/>
        <v>45662</v>
      </c>
      <c r="C138" s="50">
        <f t="shared" si="8"/>
        <v>45668</v>
      </c>
      <c r="D138" s="51">
        <f t="shared" si="9"/>
        <v>132</v>
      </c>
    </row>
    <row r="139" spans="2:4" x14ac:dyDescent="0.3">
      <c r="B139" s="50">
        <f t="shared" si="8"/>
        <v>45669</v>
      </c>
      <c r="C139" s="50">
        <f t="shared" si="8"/>
        <v>45675</v>
      </c>
      <c r="D139" s="51">
        <f t="shared" si="9"/>
        <v>133</v>
      </c>
    </row>
    <row r="140" spans="2:4" x14ac:dyDescent="0.3">
      <c r="B140" s="50">
        <f t="shared" si="8"/>
        <v>45676</v>
      </c>
      <c r="C140" s="50">
        <f t="shared" si="8"/>
        <v>45682</v>
      </c>
      <c r="D140" s="51">
        <f t="shared" si="9"/>
        <v>134</v>
      </c>
    </row>
    <row r="141" spans="2:4" x14ac:dyDescent="0.3">
      <c r="B141" s="50">
        <f t="shared" si="8"/>
        <v>45683</v>
      </c>
      <c r="C141" s="50">
        <f t="shared" si="8"/>
        <v>45689</v>
      </c>
      <c r="D141" s="51">
        <f t="shared" si="9"/>
        <v>135</v>
      </c>
    </row>
    <row r="142" spans="2:4" x14ac:dyDescent="0.3">
      <c r="B142" s="50">
        <f t="shared" si="8"/>
        <v>45690</v>
      </c>
      <c r="C142" s="50">
        <f t="shared" si="8"/>
        <v>45696</v>
      </c>
      <c r="D142" s="51">
        <f t="shared" si="9"/>
        <v>136</v>
      </c>
    </row>
    <row r="143" spans="2:4" x14ac:dyDescent="0.3">
      <c r="B143" s="50">
        <f t="shared" si="8"/>
        <v>45697</v>
      </c>
      <c r="C143" s="50">
        <f t="shared" si="8"/>
        <v>45703</v>
      </c>
      <c r="D143" s="51">
        <f t="shared" si="9"/>
        <v>137</v>
      </c>
    </row>
    <row r="144" spans="2:4" x14ac:dyDescent="0.3">
      <c r="B144" s="50">
        <f t="shared" si="8"/>
        <v>45704</v>
      </c>
      <c r="C144" s="50">
        <f t="shared" si="8"/>
        <v>45710</v>
      </c>
      <c r="D144" s="51">
        <f t="shared" si="9"/>
        <v>138</v>
      </c>
    </row>
    <row r="145" spans="2:4" x14ac:dyDescent="0.3">
      <c r="B145" s="50">
        <f t="shared" si="8"/>
        <v>45711</v>
      </c>
      <c r="C145" s="50">
        <f t="shared" si="8"/>
        <v>45717</v>
      </c>
      <c r="D145" s="51">
        <f t="shared" si="9"/>
        <v>139</v>
      </c>
    </row>
    <row r="146" spans="2:4" x14ac:dyDescent="0.3">
      <c r="B146" s="50">
        <f t="shared" si="8"/>
        <v>45718</v>
      </c>
      <c r="C146" s="50">
        <f t="shared" si="8"/>
        <v>45724</v>
      </c>
      <c r="D146" s="51">
        <f t="shared" si="9"/>
        <v>140</v>
      </c>
    </row>
    <row r="147" spans="2:4" x14ac:dyDescent="0.3">
      <c r="B147" s="50">
        <f t="shared" si="8"/>
        <v>45725</v>
      </c>
      <c r="C147" s="50">
        <f t="shared" si="8"/>
        <v>45731</v>
      </c>
      <c r="D147" s="51">
        <f t="shared" si="9"/>
        <v>141</v>
      </c>
    </row>
    <row r="148" spans="2:4" x14ac:dyDescent="0.3">
      <c r="B148" s="50">
        <f t="shared" si="8"/>
        <v>45732</v>
      </c>
      <c r="C148" s="50">
        <f t="shared" si="8"/>
        <v>45738</v>
      </c>
      <c r="D148" s="51">
        <f t="shared" si="9"/>
        <v>142</v>
      </c>
    </row>
    <row r="149" spans="2:4" x14ac:dyDescent="0.3">
      <c r="B149" s="50">
        <f t="shared" si="8"/>
        <v>45739</v>
      </c>
      <c r="C149" s="50">
        <f t="shared" si="8"/>
        <v>45745</v>
      </c>
      <c r="D149" s="51">
        <f t="shared" si="9"/>
        <v>143</v>
      </c>
    </row>
    <row r="150" spans="2:4" x14ac:dyDescent="0.3">
      <c r="B150" s="50">
        <f t="shared" si="8"/>
        <v>45746</v>
      </c>
      <c r="C150" s="50">
        <f t="shared" si="8"/>
        <v>45752</v>
      </c>
      <c r="D150" s="51">
        <f t="shared" si="9"/>
        <v>144</v>
      </c>
    </row>
    <row r="151" spans="2:4" x14ac:dyDescent="0.3">
      <c r="B151" s="50">
        <f t="shared" si="8"/>
        <v>45753</v>
      </c>
      <c r="C151" s="50">
        <f t="shared" si="8"/>
        <v>45759</v>
      </c>
      <c r="D151" s="51">
        <f t="shared" si="9"/>
        <v>145</v>
      </c>
    </row>
    <row r="152" spans="2:4" x14ac:dyDescent="0.3">
      <c r="B152" s="50">
        <f t="shared" ref="B152:C167" si="10">B151+7</f>
        <v>45760</v>
      </c>
      <c r="C152" s="50">
        <f t="shared" si="10"/>
        <v>45766</v>
      </c>
      <c r="D152" s="51">
        <f t="shared" si="9"/>
        <v>146</v>
      </c>
    </row>
    <row r="153" spans="2:4" x14ac:dyDescent="0.3">
      <c r="B153" s="50">
        <f t="shared" si="10"/>
        <v>45767</v>
      </c>
      <c r="C153" s="50">
        <f t="shared" si="10"/>
        <v>45773</v>
      </c>
      <c r="D153" s="51">
        <f t="shared" si="9"/>
        <v>147</v>
      </c>
    </row>
    <row r="154" spans="2:4" x14ac:dyDescent="0.3">
      <c r="B154" s="50">
        <f t="shared" si="10"/>
        <v>45774</v>
      </c>
      <c r="C154" s="50">
        <f t="shared" si="10"/>
        <v>45780</v>
      </c>
      <c r="D154" s="51">
        <f t="shared" si="9"/>
        <v>148</v>
      </c>
    </row>
    <row r="155" spans="2:4" x14ac:dyDescent="0.3">
      <c r="B155" s="50">
        <f t="shared" si="10"/>
        <v>45781</v>
      </c>
      <c r="C155" s="50">
        <f t="shared" si="10"/>
        <v>45787</v>
      </c>
      <c r="D155" s="51">
        <f t="shared" si="9"/>
        <v>149</v>
      </c>
    </row>
    <row r="156" spans="2:4" x14ac:dyDescent="0.3">
      <c r="B156" s="50">
        <f t="shared" si="10"/>
        <v>45788</v>
      </c>
      <c r="C156" s="50">
        <f t="shared" si="10"/>
        <v>45794</v>
      </c>
      <c r="D156" s="51">
        <f t="shared" si="9"/>
        <v>150</v>
      </c>
    </row>
    <row r="157" spans="2:4" x14ac:dyDescent="0.3">
      <c r="B157" s="50">
        <f t="shared" si="10"/>
        <v>45795</v>
      </c>
      <c r="C157" s="50">
        <f t="shared" si="10"/>
        <v>45801</v>
      </c>
      <c r="D157" s="51">
        <f t="shared" si="9"/>
        <v>151</v>
      </c>
    </row>
    <row r="158" spans="2:4" x14ac:dyDescent="0.3">
      <c r="B158" s="50">
        <f t="shared" si="10"/>
        <v>45802</v>
      </c>
      <c r="C158" s="50">
        <f t="shared" si="10"/>
        <v>45808</v>
      </c>
      <c r="D158" s="51">
        <f t="shared" si="9"/>
        <v>152</v>
      </c>
    </row>
    <row r="159" spans="2:4" x14ac:dyDescent="0.3">
      <c r="B159" s="50">
        <f t="shared" si="10"/>
        <v>45809</v>
      </c>
      <c r="C159" s="50">
        <f t="shared" si="10"/>
        <v>45815</v>
      </c>
      <c r="D159" s="51">
        <f t="shared" si="9"/>
        <v>153</v>
      </c>
    </row>
    <row r="160" spans="2:4" x14ac:dyDescent="0.3">
      <c r="B160" s="50">
        <f t="shared" si="10"/>
        <v>45816</v>
      </c>
      <c r="C160" s="50">
        <f t="shared" si="10"/>
        <v>45822</v>
      </c>
      <c r="D160" s="51">
        <f t="shared" si="9"/>
        <v>154</v>
      </c>
    </row>
    <row r="161" spans="2:4" x14ac:dyDescent="0.3">
      <c r="B161" s="50">
        <f t="shared" si="10"/>
        <v>45823</v>
      </c>
      <c r="C161" s="50">
        <f t="shared" si="10"/>
        <v>45829</v>
      </c>
      <c r="D161" s="51">
        <f t="shared" si="9"/>
        <v>155</v>
      </c>
    </row>
    <row r="162" spans="2:4" x14ac:dyDescent="0.3">
      <c r="B162" s="50">
        <f t="shared" si="10"/>
        <v>45830</v>
      </c>
      <c r="C162" s="50">
        <f t="shared" si="10"/>
        <v>45836</v>
      </c>
      <c r="D162" s="51">
        <f t="shared" si="9"/>
        <v>156</v>
      </c>
    </row>
    <row r="163" spans="2:4" x14ac:dyDescent="0.3">
      <c r="B163" s="50">
        <f t="shared" si="10"/>
        <v>45837</v>
      </c>
      <c r="C163" s="50">
        <f t="shared" si="10"/>
        <v>45843</v>
      </c>
      <c r="D163" s="51">
        <f t="shared" si="9"/>
        <v>157</v>
      </c>
    </row>
    <row r="164" spans="2:4" x14ac:dyDescent="0.3">
      <c r="B164" s="50">
        <f t="shared" si="10"/>
        <v>45844</v>
      </c>
      <c r="C164" s="50">
        <f t="shared" si="10"/>
        <v>45850</v>
      </c>
      <c r="D164" s="51">
        <f t="shared" si="9"/>
        <v>158</v>
      </c>
    </row>
    <row r="165" spans="2:4" x14ac:dyDescent="0.3">
      <c r="B165" s="50">
        <f t="shared" si="10"/>
        <v>45851</v>
      </c>
      <c r="C165" s="50">
        <f t="shared" si="10"/>
        <v>45857</v>
      </c>
      <c r="D165" s="51">
        <f t="shared" si="9"/>
        <v>159</v>
      </c>
    </row>
    <row r="166" spans="2:4" x14ac:dyDescent="0.3">
      <c r="B166" s="50">
        <f t="shared" si="10"/>
        <v>45858</v>
      </c>
      <c r="C166" s="50">
        <f t="shared" si="10"/>
        <v>45864</v>
      </c>
      <c r="D166" s="51">
        <f t="shared" si="9"/>
        <v>160</v>
      </c>
    </row>
    <row r="167" spans="2:4" x14ac:dyDescent="0.3">
      <c r="B167" s="50">
        <f t="shared" si="10"/>
        <v>45865</v>
      </c>
      <c r="C167" s="50">
        <f t="shared" si="10"/>
        <v>45871</v>
      </c>
      <c r="D167" s="51">
        <f t="shared" si="9"/>
        <v>161</v>
      </c>
    </row>
    <row r="168" spans="2:4" x14ac:dyDescent="0.3">
      <c r="B168" s="50">
        <f t="shared" ref="B168:C183" si="11">B167+7</f>
        <v>45872</v>
      </c>
      <c r="C168" s="50">
        <f t="shared" si="11"/>
        <v>45878</v>
      </c>
      <c r="D168" s="51">
        <f t="shared" si="9"/>
        <v>162</v>
      </c>
    </row>
    <row r="169" spans="2:4" x14ac:dyDescent="0.3">
      <c r="B169" s="50">
        <f t="shared" si="11"/>
        <v>45879</v>
      </c>
      <c r="C169" s="50">
        <f t="shared" si="11"/>
        <v>45885</v>
      </c>
      <c r="D169" s="51">
        <f t="shared" si="9"/>
        <v>163</v>
      </c>
    </row>
    <row r="170" spans="2:4" x14ac:dyDescent="0.3">
      <c r="B170" s="50">
        <f t="shared" si="11"/>
        <v>45886</v>
      </c>
      <c r="C170" s="50">
        <f t="shared" si="11"/>
        <v>45892</v>
      </c>
      <c r="D170" s="51">
        <f t="shared" si="9"/>
        <v>164</v>
      </c>
    </row>
    <row r="171" spans="2:4" x14ac:dyDescent="0.3">
      <c r="B171" s="50">
        <f t="shared" si="11"/>
        <v>45893</v>
      </c>
      <c r="C171" s="50">
        <f t="shared" si="11"/>
        <v>45899</v>
      </c>
      <c r="D171" s="51">
        <f t="shared" si="9"/>
        <v>165</v>
      </c>
    </row>
    <row r="172" spans="2:4" x14ac:dyDescent="0.3">
      <c r="B172" s="50">
        <f t="shared" si="11"/>
        <v>45900</v>
      </c>
      <c r="C172" s="50">
        <f t="shared" si="11"/>
        <v>45906</v>
      </c>
      <c r="D172" s="51">
        <f t="shared" si="9"/>
        <v>166</v>
      </c>
    </row>
    <row r="173" spans="2:4" x14ac:dyDescent="0.3">
      <c r="B173" s="50">
        <f t="shared" si="11"/>
        <v>45907</v>
      </c>
      <c r="C173" s="50">
        <f t="shared" si="11"/>
        <v>45913</v>
      </c>
      <c r="D173" s="51">
        <f t="shared" si="9"/>
        <v>167</v>
      </c>
    </row>
    <row r="174" spans="2:4" x14ac:dyDescent="0.3">
      <c r="B174" s="50">
        <f t="shared" si="11"/>
        <v>45914</v>
      </c>
      <c r="C174" s="50">
        <f t="shared" si="11"/>
        <v>45920</v>
      </c>
      <c r="D174" s="51">
        <f t="shared" si="9"/>
        <v>168</v>
      </c>
    </row>
    <row r="175" spans="2:4" x14ac:dyDescent="0.3">
      <c r="B175" s="50">
        <f t="shared" si="11"/>
        <v>45921</v>
      </c>
      <c r="C175" s="50">
        <f t="shared" si="11"/>
        <v>45927</v>
      </c>
      <c r="D175" s="51">
        <f t="shared" si="9"/>
        <v>169</v>
      </c>
    </row>
    <row r="176" spans="2:4" x14ac:dyDescent="0.3">
      <c r="B176" s="50">
        <f t="shared" si="11"/>
        <v>45928</v>
      </c>
      <c r="C176" s="50">
        <f t="shared" si="11"/>
        <v>45934</v>
      </c>
      <c r="D176" s="51">
        <f t="shared" si="9"/>
        <v>170</v>
      </c>
    </row>
    <row r="177" spans="2:4" x14ac:dyDescent="0.3">
      <c r="B177" s="50">
        <f t="shared" si="11"/>
        <v>45935</v>
      </c>
      <c r="C177" s="50">
        <f t="shared" si="11"/>
        <v>45941</v>
      </c>
      <c r="D177" s="51">
        <f t="shared" si="9"/>
        <v>171</v>
      </c>
    </row>
    <row r="178" spans="2:4" x14ac:dyDescent="0.3">
      <c r="B178" s="50">
        <f t="shared" si="11"/>
        <v>45942</v>
      </c>
      <c r="C178" s="50">
        <f t="shared" si="11"/>
        <v>45948</v>
      </c>
      <c r="D178" s="51">
        <f t="shared" si="9"/>
        <v>172</v>
      </c>
    </row>
    <row r="179" spans="2:4" x14ac:dyDescent="0.3">
      <c r="B179" s="50">
        <f t="shared" si="11"/>
        <v>45949</v>
      </c>
      <c r="C179" s="50">
        <f t="shared" si="11"/>
        <v>45955</v>
      </c>
      <c r="D179" s="51">
        <f t="shared" si="9"/>
        <v>173</v>
      </c>
    </row>
    <row r="180" spans="2:4" x14ac:dyDescent="0.3">
      <c r="B180" s="50">
        <f t="shared" si="11"/>
        <v>45956</v>
      </c>
      <c r="C180" s="50">
        <f t="shared" si="11"/>
        <v>45962</v>
      </c>
      <c r="D180" s="51">
        <f t="shared" si="9"/>
        <v>174</v>
      </c>
    </row>
    <row r="181" spans="2:4" x14ac:dyDescent="0.3">
      <c r="B181" s="50">
        <f t="shared" si="11"/>
        <v>45963</v>
      </c>
      <c r="C181" s="50">
        <f t="shared" si="11"/>
        <v>45969</v>
      </c>
      <c r="D181" s="51">
        <f t="shared" si="9"/>
        <v>175</v>
      </c>
    </row>
    <row r="182" spans="2:4" x14ac:dyDescent="0.3">
      <c r="B182" s="50">
        <f t="shared" si="11"/>
        <v>45970</v>
      </c>
      <c r="C182" s="50">
        <f t="shared" si="11"/>
        <v>45976</v>
      </c>
      <c r="D182" s="51">
        <f t="shared" si="9"/>
        <v>176</v>
      </c>
    </row>
    <row r="183" spans="2:4" x14ac:dyDescent="0.3">
      <c r="B183" s="50">
        <f t="shared" si="11"/>
        <v>45977</v>
      </c>
      <c r="C183" s="50">
        <f t="shared" si="11"/>
        <v>45983</v>
      </c>
      <c r="D183" s="51">
        <f t="shared" si="9"/>
        <v>177</v>
      </c>
    </row>
    <row r="184" spans="2:4" x14ac:dyDescent="0.3">
      <c r="B184" s="50">
        <f t="shared" ref="B184:C196" si="12">B183+7</f>
        <v>45984</v>
      </c>
      <c r="C184" s="50">
        <f t="shared" si="12"/>
        <v>45990</v>
      </c>
      <c r="D184" s="51">
        <f t="shared" si="9"/>
        <v>178</v>
      </c>
    </row>
    <row r="185" spans="2:4" x14ac:dyDescent="0.3">
      <c r="B185" s="50">
        <f t="shared" si="12"/>
        <v>45991</v>
      </c>
      <c r="C185" s="50">
        <f t="shared" si="12"/>
        <v>45997</v>
      </c>
      <c r="D185" s="51">
        <f t="shared" si="9"/>
        <v>179</v>
      </c>
    </row>
    <row r="186" spans="2:4" x14ac:dyDescent="0.3">
      <c r="B186" s="50">
        <f t="shared" si="12"/>
        <v>45998</v>
      </c>
      <c r="C186" s="50">
        <f t="shared" si="12"/>
        <v>46004</v>
      </c>
      <c r="D186" s="51">
        <f t="shared" si="9"/>
        <v>180</v>
      </c>
    </row>
    <row r="187" spans="2:4" x14ac:dyDescent="0.3">
      <c r="B187" s="50">
        <f t="shared" si="12"/>
        <v>46005</v>
      </c>
      <c r="C187" s="50">
        <f t="shared" si="12"/>
        <v>46011</v>
      </c>
      <c r="D187" s="51">
        <f t="shared" si="9"/>
        <v>181</v>
      </c>
    </row>
    <row r="188" spans="2:4" x14ac:dyDescent="0.3">
      <c r="B188" s="50">
        <f t="shared" si="12"/>
        <v>46012</v>
      </c>
      <c r="C188" s="50">
        <f t="shared" si="12"/>
        <v>46018</v>
      </c>
      <c r="D188" s="51">
        <f t="shared" si="9"/>
        <v>182</v>
      </c>
    </row>
    <row r="189" spans="2:4" x14ac:dyDescent="0.3">
      <c r="B189" s="50">
        <f t="shared" si="12"/>
        <v>46019</v>
      </c>
      <c r="C189" s="50">
        <f t="shared" si="12"/>
        <v>46025</v>
      </c>
      <c r="D189" s="51">
        <f t="shared" si="9"/>
        <v>183</v>
      </c>
    </row>
    <row r="190" spans="2:4" x14ac:dyDescent="0.3">
      <c r="B190" s="50">
        <f t="shared" si="12"/>
        <v>46026</v>
      </c>
      <c r="C190" s="50">
        <f t="shared" si="12"/>
        <v>46032</v>
      </c>
      <c r="D190" s="51">
        <f t="shared" si="9"/>
        <v>184</v>
      </c>
    </row>
    <row r="191" spans="2:4" x14ac:dyDescent="0.3">
      <c r="B191" s="50">
        <f t="shared" si="12"/>
        <v>46033</v>
      </c>
      <c r="C191" s="50">
        <f t="shared" si="12"/>
        <v>46039</v>
      </c>
      <c r="D191" s="51">
        <f t="shared" si="9"/>
        <v>185</v>
      </c>
    </row>
    <row r="192" spans="2:4" x14ac:dyDescent="0.3">
      <c r="B192" s="50">
        <f t="shared" si="12"/>
        <v>46040</v>
      </c>
      <c r="C192" s="50">
        <f t="shared" si="12"/>
        <v>46046</v>
      </c>
      <c r="D192" s="51">
        <f t="shared" si="9"/>
        <v>186</v>
      </c>
    </row>
    <row r="193" spans="2:4" x14ac:dyDescent="0.3">
      <c r="B193" s="50">
        <f t="shared" si="12"/>
        <v>46047</v>
      </c>
      <c r="C193" s="50">
        <f t="shared" si="12"/>
        <v>46053</v>
      </c>
      <c r="D193" s="51">
        <f t="shared" si="9"/>
        <v>187</v>
      </c>
    </row>
    <row r="194" spans="2:4" x14ac:dyDescent="0.3">
      <c r="B194" s="50">
        <f t="shared" si="12"/>
        <v>46054</v>
      </c>
      <c r="C194" s="50">
        <f t="shared" si="12"/>
        <v>46060</v>
      </c>
      <c r="D194" s="51">
        <f t="shared" si="9"/>
        <v>188</v>
      </c>
    </row>
    <row r="195" spans="2:4" x14ac:dyDescent="0.3">
      <c r="B195" s="50">
        <f t="shared" si="12"/>
        <v>46061</v>
      </c>
      <c r="C195" s="50">
        <f t="shared" si="12"/>
        <v>46067</v>
      </c>
      <c r="D195" s="51">
        <f t="shared" si="9"/>
        <v>189</v>
      </c>
    </row>
    <row r="196" spans="2:4" x14ac:dyDescent="0.3">
      <c r="B196" s="50">
        <f t="shared" si="12"/>
        <v>46068</v>
      </c>
      <c r="C196" s="50">
        <f t="shared" si="12"/>
        <v>46074</v>
      </c>
      <c r="D196" s="51">
        <f t="shared" si="9"/>
        <v>190</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80"/>
    <outlinePr summaryBelow="0" summaryRight="0"/>
    <pageSetUpPr fitToPage="1"/>
  </sheetPr>
  <dimension ref="A1:AI67"/>
  <sheetViews>
    <sheetView showGridLines="0" tabSelected="1" zoomScale="55" zoomScaleNormal="55" zoomScaleSheetLayoutView="55" workbookViewId="0">
      <pane ySplit="9" topLeftCell="A10" activePane="bottomLeft" state="frozen"/>
      <selection pane="bottomLeft" activeCell="G56" sqref="G56"/>
    </sheetView>
  </sheetViews>
  <sheetFormatPr defaultColWidth="8.88671875" defaultRowHeight="23.4" outlineLevelRow="2" outlineLevelCol="1" x14ac:dyDescent="0.3"/>
  <cols>
    <col min="1" max="2" width="2.109375" style="27" customWidth="1"/>
    <col min="3" max="3" width="1.44140625" style="27" customWidth="1"/>
    <col min="4" max="4" width="7.5546875" style="27" customWidth="1"/>
    <col min="5" max="5" width="17.109375" style="27" customWidth="1"/>
    <col min="6" max="6" width="16.88671875" style="27" customWidth="1"/>
    <col min="7" max="7" width="14" style="27" customWidth="1"/>
    <col min="8" max="8" width="67" style="27" customWidth="1"/>
    <col min="9" max="9" width="19.33203125" style="27" customWidth="1"/>
    <col min="10" max="10" width="19.33203125" style="27" customWidth="1" outlineLevel="1"/>
    <col min="11" max="11" width="23.6640625" style="27" customWidth="1" outlineLevel="1"/>
    <col min="12" max="12" width="21.5546875" style="27" customWidth="1" outlineLevel="1"/>
    <col min="13" max="13" width="19.33203125" style="27" customWidth="1" outlineLevel="1"/>
    <col min="14" max="14" width="15.44140625" style="27" customWidth="1"/>
    <col min="15" max="16" width="19.33203125" style="27" customWidth="1"/>
    <col min="17" max="17" width="13.33203125" style="27" customWidth="1"/>
    <col min="18" max="18" width="12.88671875" style="27" customWidth="1"/>
    <col min="19" max="19" width="11.88671875" style="27" customWidth="1"/>
    <col min="20" max="20" width="12.109375" style="28" customWidth="1"/>
    <col min="21" max="21" width="11.5546875" style="28" customWidth="1"/>
    <col min="22" max="22" width="11.88671875" style="28" customWidth="1"/>
    <col min="23" max="23" width="14.88671875" style="28" customWidth="1"/>
    <col min="24" max="24" width="18" style="45" customWidth="1"/>
    <col min="25" max="25" width="2.5546875" style="27" hidden="1" customWidth="1"/>
    <col min="26" max="27" width="8.88671875" style="27" hidden="1" customWidth="1"/>
    <col min="28" max="28" width="1.5546875" style="27" customWidth="1"/>
    <col min="29" max="29" width="21.109375" style="27" customWidth="1"/>
    <col min="30" max="30" width="10.5546875" style="54" customWidth="1"/>
    <col min="31" max="31" width="52.88671875" style="27" customWidth="1"/>
    <col min="32" max="32" width="57.5546875" style="27" customWidth="1"/>
    <col min="33" max="33" width="13.6640625" style="27" bestFit="1" customWidth="1"/>
    <col min="34" max="34" width="17.5546875" style="27" bestFit="1" customWidth="1"/>
    <col min="35" max="35" width="11.5546875" style="27" bestFit="1" customWidth="1"/>
    <col min="36" max="36" width="9.109375" style="27" customWidth="1"/>
    <col min="37" max="37" width="24.33203125" style="27" customWidth="1"/>
    <col min="38" max="39" width="27.6640625" style="27" customWidth="1"/>
    <col min="40" max="16384" width="8.88671875" style="27"/>
  </cols>
  <sheetData>
    <row r="1" spans="1:35" s="10" customFormat="1" ht="6" customHeight="1" thickBot="1" x14ac:dyDescent="0.35">
      <c r="T1" s="11"/>
      <c r="U1" s="11"/>
      <c r="V1" s="11"/>
      <c r="W1" s="11"/>
      <c r="X1" s="45"/>
      <c r="AD1" s="9"/>
    </row>
    <row r="2" spans="1:35" s="10" customFormat="1" ht="60.75" customHeight="1" thickBot="1" x14ac:dyDescent="0.35">
      <c r="A2" s="135" t="s">
        <v>7</v>
      </c>
      <c r="B2" s="136"/>
      <c r="C2" s="136"/>
      <c r="D2" s="136"/>
      <c r="E2" s="136"/>
      <c r="F2" s="136"/>
      <c r="G2" s="136"/>
      <c r="H2" s="136"/>
      <c r="I2" s="136"/>
      <c r="J2" s="136"/>
      <c r="K2" s="136"/>
      <c r="L2" s="136"/>
      <c r="M2" s="136"/>
      <c r="N2" s="136"/>
      <c r="O2" s="136"/>
      <c r="P2" s="136"/>
      <c r="Q2" s="136"/>
      <c r="R2" s="136"/>
      <c r="S2" s="136"/>
      <c r="T2" s="136"/>
      <c r="U2" s="136"/>
      <c r="V2" s="136"/>
      <c r="W2" s="136"/>
      <c r="X2" s="136"/>
      <c r="Y2" s="137"/>
      <c r="AC2" s="131" t="s">
        <v>8</v>
      </c>
      <c r="AD2" s="131"/>
      <c r="AE2" s="131"/>
      <c r="AF2" s="131"/>
    </row>
    <row r="3" spans="1:35" s="10" customFormat="1" ht="6" customHeight="1" x14ac:dyDescent="0.3">
      <c r="T3" s="11"/>
      <c r="U3" s="11"/>
      <c r="V3" s="11"/>
      <c r="W3" s="11"/>
      <c r="X3" s="45"/>
      <c r="AC3" s="131"/>
      <c r="AD3" s="131"/>
      <c r="AE3" s="131"/>
      <c r="AF3" s="131"/>
    </row>
    <row r="4" spans="1:35" s="10" customFormat="1" ht="18.600000000000001" hidden="1" customHeight="1" x14ac:dyDescent="0.3">
      <c r="A4" s="138" t="s">
        <v>9</v>
      </c>
      <c r="B4" s="139"/>
      <c r="C4" s="139"/>
      <c r="D4" s="139"/>
      <c r="E4" s="152" t="s">
        <v>10</v>
      </c>
      <c r="F4" s="153"/>
      <c r="G4" s="153"/>
      <c r="H4" s="153"/>
      <c r="I4" s="153"/>
      <c r="J4" s="153"/>
      <c r="K4" s="153"/>
      <c r="L4" s="132" t="s">
        <v>11</v>
      </c>
      <c r="M4" s="133"/>
      <c r="N4" s="134"/>
      <c r="O4" s="154" t="e">
        <f>#REF!+6</f>
        <v>#REF!</v>
      </c>
      <c r="P4" s="154"/>
      <c r="Q4" s="154"/>
      <c r="R4" s="144" t="s">
        <v>12</v>
      </c>
      <c r="S4" s="145"/>
      <c r="T4" s="145"/>
      <c r="U4" s="145"/>
      <c r="V4" s="145"/>
      <c r="W4" s="145"/>
      <c r="X4" s="155">
        <f ca="1">TODAY()</f>
        <v>46245</v>
      </c>
      <c r="Y4" s="156"/>
      <c r="Z4" s="38"/>
      <c r="AA4" s="38"/>
      <c r="AB4" s="38"/>
      <c r="AC4" s="131"/>
      <c r="AD4" s="131"/>
      <c r="AE4" s="131"/>
      <c r="AF4" s="131"/>
    </row>
    <row r="5" spans="1:35" s="10" customFormat="1" ht="8.25" customHeight="1" thickBot="1" x14ac:dyDescent="0.35">
      <c r="A5" s="38"/>
      <c r="B5" s="38"/>
      <c r="C5" s="38"/>
      <c r="D5" s="39"/>
      <c r="E5" s="39"/>
      <c r="F5" s="39"/>
      <c r="G5" s="39"/>
      <c r="H5" s="39"/>
      <c r="I5" s="39"/>
      <c r="J5" s="39"/>
      <c r="K5" s="39"/>
      <c r="L5" s="39"/>
      <c r="M5" s="39"/>
      <c r="N5" s="39"/>
      <c r="O5" s="40"/>
      <c r="P5" s="40"/>
      <c r="Q5" s="41"/>
      <c r="R5" s="42"/>
      <c r="S5" s="42"/>
      <c r="T5" s="42"/>
      <c r="U5" s="39"/>
      <c r="V5" s="39"/>
      <c r="W5" s="39"/>
      <c r="X5" s="46"/>
      <c r="Y5" s="39"/>
      <c r="Z5" s="38"/>
      <c r="AA5" s="38"/>
      <c r="AB5" s="38"/>
      <c r="AC5" s="43"/>
      <c r="AD5" s="53"/>
      <c r="AE5" s="43"/>
      <c r="AF5" s="43"/>
    </row>
    <row r="6" spans="1:35" s="17" customFormat="1" ht="26.25" customHeight="1" thickBot="1" x14ac:dyDescent="0.35">
      <c r="A6" s="141"/>
      <c r="B6" s="140"/>
      <c r="C6" s="140"/>
      <c r="D6" s="140" t="s">
        <v>13</v>
      </c>
      <c r="E6" s="140" t="s">
        <v>14</v>
      </c>
      <c r="F6" s="140" t="s">
        <v>15</v>
      </c>
      <c r="G6" s="149" t="s">
        <v>16</v>
      </c>
      <c r="H6" s="140" t="s">
        <v>17</v>
      </c>
      <c r="I6" s="140" t="s">
        <v>18</v>
      </c>
      <c r="J6" s="140" t="s">
        <v>19</v>
      </c>
      <c r="K6" s="140" t="s">
        <v>20</v>
      </c>
      <c r="L6" s="149" t="s">
        <v>21</v>
      </c>
      <c r="M6" s="146" t="s">
        <v>22</v>
      </c>
      <c r="N6" s="140" t="s">
        <v>23</v>
      </c>
      <c r="O6" s="92" t="s">
        <v>24</v>
      </c>
      <c r="P6" s="93"/>
      <c r="Q6" s="123" t="s">
        <v>25</v>
      </c>
      <c r="R6" s="124"/>
      <c r="S6" s="124"/>
      <c r="T6" s="124"/>
      <c r="U6" s="124"/>
      <c r="V6" s="125"/>
      <c r="W6" s="140"/>
      <c r="X6" s="58" t="s">
        <v>26</v>
      </c>
      <c r="Y6" s="140" t="s">
        <v>27</v>
      </c>
      <c r="Z6" s="29"/>
      <c r="AA6" s="29"/>
      <c r="AB6" s="30"/>
      <c r="AC6" s="123" t="s">
        <v>28</v>
      </c>
      <c r="AD6" s="124"/>
      <c r="AE6" s="125"/>
      <c r="AF6" s="85" t="s">
        <v>29</v>
      </c>
    </row>
    <row r="7" spans="1:35" s="17" customFormat="1" ht="18" x14ac:dyDescent="0.3">
      <c r="A7" s="142"/>
      <c r="B7" s="118"/>
      <c r="C7" s="118"/>
      <c r="D7" s="118"/>
      <c r="E7" s="118"/>
      <c r="F7" s="118"/>
      <c r="G7" s="150"/>
      <c r="H7" s="118"/>
      <c r="I7" s="118"/>
      <c r="J7" s="118"/>
      <c r="K7" s="118"/>
      <c r="L7" s="150"/>
      <c r="M7" s="147"/>
      <c r="N7" s="118"/>
      <c r="O7" s="94"/>
      <c r="P7" s="95"/>
      <c r="Q7" s="126"/>
      <c r="R7" s="127"/>
      <c r="S7" s="127"/>
      <c r="T7" s="127"/>
      <c r="U7" s="127"/>
      <c r="V7" s="128"/>
      <c r="W7" s="118"/>
      <c r="X7" s="100" t="e">
        <f>AVERAGE(X11:X54)</f>
        <v>#DIV/0!</v>
      </c>
      <c r="Y7" s="118"/>
      <c r="Z7" s="31"/>
      <c r="AA7" s="31"/>
      <c r="AB7" s="32"/>
      <c r="AC7" s="126"/>
      <c r="AD7" s="127"/>
      <c r="AE7" s="128"/>
      <c r="AF7" s="86"/>
    </row>
    <row r="8" spans="1:35" s="17" customFormat="1" ht="18.75" customHeight="1" thickBot="1" x14ac:dyDescent="0.35">
      <c r="A8" s="142"/>
      <c r="B8" s="118"/>
      <c r="C8" s="118"/>
      <c r="D8" s="118"/>
      <c r="E8" s="118"/>
      <c r="F8" s="118"/>
      <c r="G8" s="150"/>
      <c r="H8" s="118"/>
      <c r="I8" s="118"/>
      <c r="J8" s="118"/>
      <c r="K8" s="118"/>
      <c r="L8" s="150"/>
      <c r="M8" s="147" t="s">
        <v>30</v>
      </c>
      <c r="N8" s="118"/>
      <c r="O8" s="94"/>
      <c r="P8" s="95"/>
      <c r="Q8" s="33">
        <v>44977</v>
      </c>
      <c r="R8" s="34">
        <f>Q8+1</f>
        <v>44978</v>
      </c>
      <c r="S8" s="34">
        <f t="shared" ref="S8:V8" si="0">R8+1</f>
        <v>44979</v>
      </c>
      <c r="T8" s="34">
        <f t="shared" si="0"/>
        <v>44980</v>
      </c>
      <c r="U8" s="34">
        <f t="shared" si="0"/>
        <v>44981</v>
      </c>
      <c r="V8" s="34">
        <f t="shared" si="0"/>
        <v>44982</v>
      </c>
      <c r="W8" s="34"/>
      <c r="X8" s="101"/>
      <c r="Y8" s="118"/>
      <c r="Z8" s="31"/>
      <c r="AA8" s="31"/>
      <c r="AB8" s="32"/>
      <c r="AC8" s="118" t="s">
        <v>31</v>
      </c>
      <c r="AD8" s="118" t="s">
        <v>32</v>
      </c>
      <c r="AE8" s="118" t="s">
        <v>33</v>
      </c>
      <c r="AF8" s="120" t="s">
        <v>34</v>
      </c>
    </row>
    <row r="9" spans="1:35" s="44" customFormat="1" ht="19.5" customHeight="1" thickBot="1" x14ac:dyDescent="0.35">
      <c r="A9" s="143"/>
      <c r="B9" s="119"/>
      <c r="C9" s="119"/>
      <c r="D9" s="119"/>
      <c r="E9" s="119"/>
      <c r="F9" s="119"/>
      <c r="G9" s="151"/>
      <c r="H9" s="119"/>
      <c r="I9" s="119"/>
      <c r="J9" s="119"/>
      <c r="K9" s="119"/>
      <c r="L9" s="151"/>
      <c r="M9" s="148"/>
      <c r="N9" s="119"/>
      <c r="O9" s="96"/>
      <c r="P9" s="97"/>
      <c r="Q9" s="35" t="s">
        <v>35</v>
      </c>
      <c r="R9" s="61" t="s">
        <v>36</v>
      </c>
      <c r="S9" s="35" t="s">
        <v>37</v>
      </c>
      <c r="T9" s="61" t="s">
        <v>38</v>
      </c>
      <c r="U9" s="35" t="s">
        <v>39</v>
      </c>
      <c r="V9" s="35" t="s">
        <v>40</v>
      </c>
      <c r="W9" s="61" t="s">
        <v>41</v>
      </c>
      <c r="X9" s="59"/>
      <c r="Y9" s="119"/>
      <c r="Z9" s="36"/>
      <c r="AA9" s="36"/>
      <c r="AB9" s="37"/>
      <c r="AC9" s="119"/>
      <c r="AD9" s="119"/>
      <c r="AE9" s="119"/>
      <c r="AF9" s="121"/>
    </row>
    <row r="10" spans="1:35" s="9" customFormat="1" ht="45.75" customHeight="1" thickBot="1" x14ac:dyDescent="0.35">
      <c r="A10" s="12"/>
      <c r="B10" s="12"/>
      <c r="C10" s="12"/>
      <c r="D10" s="12"/>
      <c r="E10" s="12"/>
      <c r="F10" s="12"/>
      <c r="G10" s="12"/>
      <c r="H10" s="56"/>
      <c r="I10" s="12"/>
      <c r="J10" s="12"/>
      <c r="K10" s="12"/>
      <c r="L10" s="12"/>
      <c r="M10" s="12"/>
      <c r="N10" s="12"/>
      <c r="O10" s="13"/>
      <c r="P10" s="13"/>
      <c r="Q10" s="14"/>
      <c r="R10" s="12"/>
      <c r="S10" s="14"/>
      <c r="T10" s="12"/>
      <c r="U10" s="14"/>
      <c r="V10" s="14"/>
      <c r="W10" s="12"/>
      <c r="X10" s="12"/>
      <c r="Y10" s="15"/>
      <c r="Z10" s="16"/>
      <c r="AA10" s="16"/>
      <c r="AB10" s="10"/>
      <c r="AC10" s="15"/>
      <c r="AD10" s="55"/>
      <c r="AE10" s="15"/>
      <c r="AF10" s="15"/>
      <c r="AG10" s="84" t="s">
        <v>29</v>
      </c>
      <c r="AH10" s="84" t="s">
        <v>42</v>
      </c>
      <c r="AI10" s="84" t="s">
        <v>43</v>
      </c>
    </row>
    <row r="11" spans="1:35" s="24" customFormat="1" ht="20.100000000000001" customHeight="1" outlineLevel="2" thickBot="1" x14ac:dyDescent="0.35">
      <c r="A11" s="18"/>
      <c r="B11" s="19"/>
      <c r="C11" s="20"/>
      <c r="D11" s="114">
        <v>1</v>
      </c>
      <c r="E11" s="88" t="s">
        <v>44</v>
      </c>
      <c r="F11" s="88" t="s">
        <v>45</v>
      </c>
      <c r="G11" s="82"/>
      <c r="H11" s="116"/>
      <c r="I11" s="90"/>
      <c r="J11" s="90"/>
      <c r="K11" s="90"/>
      <c r="L11" s="90"/>
      <c r="M11" s="90"/>
      <c r="N11" s="90"/>
      <c r="O11" s="21" t="s">
        <v>46</v>
      </c>
      <c r="P11" s="87">
        <v>1</v>
      </c>
      <c r="Q11" s="87"/>
      <c r="R11" s="87"/>
      <c r="S11" s="87"/>
      <c r="T11" s="87"/>
      <c r="U11" s="87"/>
      <c r="V11" s="87"/>
      <c r="W11" s="87">
        <f>SUM(Q11:V11)</f>
        <v>0</v>
      </c>
      <c r="X11" s="100" t="str">
        <f>IFERROR(W12/W11,"")</f>
        <v/>
      </c>
      <c r="Y11" s="129"/>
      <c r="Z11" s="23"/>
      <c r="AA11" s="23"/>
      <c r="AB11" s="17"/>
      <c r="AC11" s="60"/>
      <c r="AD11" s="122" t="str">
        <f t="shared" ref="AD11:AD15" si="1">IF(X11="","",IF(X11&lt;0.9,"N","S"))</f>
        <v/>
      </c>
      <c r="AE11" s="102" t="s">
        <v>47</v>
      </c>
      <c r="AF11" s="102"/>
    </row>
    <row r="12" spans="1:35" s="24" customFormat="1" ht="23.25" customHeight="1" outlineLevel="2" thickBot="1" x14ac:dyDescent="0.35">
      <c r="A12" s="18"/>
      <c r="B12" s="19"/>
      <c r="C12" s="20"/>
      <c r="D12" s="115"/>
      <c r="E12" s="89"/>
      <c r="F12" s="89"/>
      <c r="G12" s="83"/>
      <c r="H12" s="117"/>
      <c r="I12" s="91"/>
      <c r="J12" s="91"/>
      <c r="K12" s="91"/>
      <c r="L12" s="91"/>
      <c r="M12" s="91"/>
      <c r="N12" s="91"/>
      <c r="O12" s="25" t="s">
        <v>48</v>
      </c>
      <c r="P12" s="87">
        <v>0</v>
      </c>
      <c r="Q12" s="87"/>
      <c r="R12" s="87"/>
      <c r="S12" s="87"/>
      <c r="T12" s="87"/>
      <c r="U12" s="87"/>
      <c r="V12" s="87"/>
      <c r="W12" s="87">
        <f>SUM(Q12:V12)</f>
        <v>0</v>
      </c>
      <c r="X12" s="101"/>
      <c r="Y12" s="130"/>
      <c r="Z12" s="23"/>
      <c r="AA12" s="23"/>
      <c r="AB12" s="17"/>
      <c r="AD12" s="113"/>
      <c r="AE12" s="103"/>
      <c r="AF12" s="103"/>
    </row>
    <row r="13" spans="1:35" ht="18.600000000000001" thickBot="1" x14ac:dyDescent="0.35">
      <c r="A13" s="18"/>
      <c r="B13" s="19"/>
      <c r="C13" s="20"/>
      <c r="D13" s="114">
        <v>2</v>
      </c>
      <c r="E13" s="88" t="s">
        <v>49</v>
      </c>
      <c r="F13" s="88"/>
      <c r="G13" s="82"/>
      <c r="H13" s="106"/>
      <c r="I13" s="90"/>
      <c r="J13" s="90"/>
      <c r="K13" s="104"/>
      <c r="L13" s="104"/>
      <c r="M13" s="104"/>
      <c r="N13" s="98"/>
      <c r="O13" s="21" t="s">
        <v>46</v>
      </c>
      <c r="P13" s="22">
        <v>1</v>
      </c>
      <c r="Q13" s="22"/>
      <c r="R13" s="22"/>
      <c r="S13" s="22"/>
      <c r="T13" s="22"/>
      <c r="U13" s="22"/>
      <c r="V13" s="22"/>
      <c r="W13" s="22">
        <f>SUM(Q13:V13)</f>
        <v>0</v>
      </c>
      <c r="X13" s="100" t="str">
        <f t="shared" ref="X13:X47" si="2">IFERROR(W14/W13,"")</f>
        <v/>
      </c>
      <c r="Y13" s="62"/>
      <c r="AD13" s="122" t="str">
        <f t="shared" si="1"/>
        <v/>
      </c>
      <c r="AE13" s="102"/>
      <c r="AF13" s="102"/>
    </row>
    <row r="14" spans="1:35" ht="18.600000000000001" thickBot="1" x14ac:dyDescent="0.35">
      <c r="A14" s="18"/>
      <c r="B14" s="19"/>
      <c r="C14" s="20"/>
      <c r="D14" s="115"/>
      <c r="E14" s="89"/>
      <c r="F14" s="89"/>
      <c r="G14" s="83"/>
      <c r="H14" s="107"/>
      <c r="I14" s="91"/>
      <c r="J14" s="91"/>
      <c r="K14" s="105"/>
      <c r="L14" s="105"/>
      <c r="M14" s="105"/>
      <c r="N14" s="99"/>
      <c r="O14" s="25" t="s">
        <v>48</v>
      </c>
      <c r="P14" s="22">
        <v>0</v>
      </c>
      <c r="Q14" s="22"/>
      <c r="R14" s="22"/>
      <c r="S14" s="22"/>
      <c r="T14" s="22"/>
      <c r="U14" s="22"/>
      <c r="V14" s="22"/>
      <c r="W14" s="22">
        <f>SUM(Q14:V14)</f>
        <v>0</v>
      </c>
      <c r="X14" s="101"/>
      <c r="Y14" s="62"/>
      <c r="AD14" s="113"/>
      <c r="AE14" s="103"/>
      <c r="AF14" s="103"/>
    </row>
    <row r="15" spans="1:35" ht="18.600000000000001" thickBot="1" x14ac:dyDescent="0.35">
      <c r="A15" s="18"/>
      <c r="B15" s="19"/>
      <c r="C15" s="20"/>
      <c r="D15" s="114">
        <v>3</v>
      </c>
      <c r="E15" s="88" t="s">
        <v>50</v>
      </c>
      <c r="F15" s="88"/>
      <c r="G15" s="82"/>
      <c r="H15" s="106"/>
      <c r="I15" s="90"/>
      <c r="J15" s="104"/>
      <c r="K15" s="104"/>
      <c r="L15" s="108"/>
      <c r="M15" s="98"/>
      <c r="N15" s="98"/>
      <c r="O15" s="21" t="s">
        <v>46</v>
      </c>
      <c r="P15" s="22">
        <v>1</v>
      </c>
      <c r="Q15" s="22"/>
      <c r="R15" s="22"/>
      <c r="S15" s="22"/>
      <c r="T15" s="22"/>
      <c r="U15" s="22"/>
      <c r="V15" s="22"/>
      <c r="W15" s="22">
        <f t="shared" ref="W15:W44" si="3">SUM(Q15:V15)</f>
        <v>0</v>
      </c>
      <c r="X15" s="100" t="str">
        <f t="shared" si="2"/>
        <v/>
      </c>
      <c r="Y15" s="110" t="s">
        <v>51</v>
      </c>
      <c r="AD15" s="112" t="str">
        <f t="shared" si="1"/>
        <v/>
      </c>
      <c r="AE15" s="102"/>
      <c r="AF15" s="102"/>
    </row>
    <row r="16" spans="1:35" ht="18.600000000000001" thickBot="1" x14ac:dyDescent="0.35">
      <c r="A16" s="18"/>
      <c r="B16" s="19"/>
      <c r="C16" s="20"/>
      <c r="D16" s="115"/>
      <c r="E16" s="89"/>
      <c r="F16" s="89"/>
      <c r="G16" s="83"/>
      <c r="H16" s="107"/>
      <c r="I16" s="91"/>
      <c r="J16" s="105"/>
      <c r="K16" s="105"/>
      <c r="L16" s="109"/>
      <c r="M16" s="99"/>
      <c r="N16" s="99"/>
      <c r="O16" s="25" t="s">
        <v>48</v>
      </c>
      <c r="P16" s="22">
        <v>0</v>
      </c>
      <c r="Q16" s="22"/>
      <c r="R16" s="22"/>
      <c r="S16" s="22"/>
      <c r="T16" s="22"/>
      <c r="U16" s="22"/>
      <c r="V16" s="22"/>
      <c r="W16" s="22">
        <f t="shared" si="3"/>
        <v>0</v>
      </c>
      <c r="X16" s="101"/>
      <c r="Y16" s="111"/>
      <c r="AD16" s="113"/>
      <c r="AE16" s="103"/>
      <c r="AF16" s="103"/>
    </row>
    <row r="17" spans="1:32" ht="17.25" customHeight="1" thickBot="1" x14ac:dyDescent="0.35">
      <c r="A17" s="18"/>
      <c r="B17" s="19"/>
      <c r="C17" s="20"/>
      <c r="D17" s="114">
        <v>5</v>
      </c>
      <c r="E17" s="88" t="s">
        <v>52</v>
      </c>
      <c r="F17" s="88"/>
      <c r="G17" s="82"/>
      <c r="H17" s="106"/>
      <c r="I17" s="74"/>
      <c r="J17" s="65"/>
      <c r="K17" s="104"/>
      <c r="L17" s="64"/>
      <c r="M17" s="63"/>
      <c r="N17" s="63"/>
      <c r="O17" s="21" t="s">
        <v>46</v>
      </c>
      <c r="P17" s="22">
        <v>1</v>
      </c>
      <c r="Q17" s="22"/>
      <c r="R17" s="22"/>
      <c r="S17" s="22"/>
      <c r="T17" s="22"/>
      <c r="U17" s="22"/>
      <c r="V17" s="22"/>
      <c r="W17" s="22">
        <f t="shared" si="3"/>
        <v>0</v>
      </c>
      <c r="X17" s="100" t="str">
        <f t="shared" si="2"/>
        <v/>
      </c>
      <c r="Y17" s="62" t="s">
        <v>51</v>
      </c>
      <c r="AD17" s="112" t="str">
        <f t="shared" ref="AD17" si="4">IF(X17="","",IF(X17&lt;0.9,"N","S"))</f>
        <v/>
      </c>
      <c r="AE17" s="77"/>
      <c r="AF17" s="102"/>
    </row>
    <row r="18" spans="1:32" ht="24.75" customHeight="1" thickBot="1" x14ac:dyDescent="0.35">
      <c r="A18" s="18"/>
      <c r="B18" s="19"/>
      <c r="C18" s="20"/>
      <c r="D18" s="115"/>
      <c r="E18" s="89"/>
      <c r="F18" s="89"/>
      <c r="G18" s="83"/>
      <c r="H18" s="107"/>
      <c r="I18" s="75"/>
      <c r="J18" s="81"/>
      <c r="K18" s="105"/>
      <c r="L18" s="80"/>
      <c r="M18" s="76"/>
      <c r="N18" s="76"/>
      <c r="O18" s="25" t="s">
        <v>48</v>
      </c>
      <c r="P18" s="22">
        <v>0</v>
      </c>
      <c r="Q18" s="22"/>
      <c r="R18" s="22"/>
      <c r="S18" s="22"/>
      <c r="T18" s="22"/>
      <c r="U18" s="22"/>
      <c r="V18" s="22"/>
      <c r="W18" s="22">
        <f t="shared" si="3"/>
        <v>0</v>
      </c>
      <c r="X18" s="101"/>
      <c r="Y18" s="79"/>
      <c r="AD18" s="113"/>
      <c r="AE18" s="78"/>
      <c r="AF18" s="103"/>
    </row>
    <row r="19" spans="1:32" ht="19.5" customHeight="1" thickBot="1" x14ac:dyDescent="0.35">
      <c r="A19" s="18"/>
      <c r="B19" s="19"/>
      <c r="C19" s="20"/>
      <c r="D19" s="114">
        <v>7</v>
      </c>
      <c r="E19" s="88" t="s">
        <v>53</v>
      </c>
      <c r="F19" s="88"/>
      <c r="G19" s="82"/>
      <c r="H19" s="106"/>
      <c r="I19" s="90"/>
      <c r="J19" s="104"/>
      <c r="K19" s="104"/>
      <c r="L19" s="104"/>
      <c r="M19" s="104"/>
      <c r="N19" s="98"/>
      <c r="O19" s="21" t="s">
        <v>46</v>
      </c>
      <c r="P19" s="22">
        <v>1</v>
      </c>
      <c r="Q19" s="22"/>
      <c r="R19" s="22"/>
      <c r="S19" s="22"/>
      <c r="T19" s="22"/>
      <c r="U19" s="22"/>
      <c r="V19" s="22"/>
      <c r="W19" s="22">
        <f t="shared" si="3"/>
        <v>0</v>
      </c>
      <c r="X19" s="100" t="str">
        <f t="shared" si="2"/>
        <v/>
      </c>
      <c r="Y19" s="62" t="s">
        <v>51</v>
      </c>
      <c r="AD19" s="112" t="str">
        <f t="shared" ref="AD19" si="5">IF(X19="","",IF(X19&lt;0.9,"N","S"))</f>
        <v/>
      </c>
      <c r="AE19" s="102"/>
      <c r="AF19" s="102"/>
    </row>
    <row r="20" spans="1:32" ht="18.600000000000001" thickBot="1" x14ac:dyDescent="0.35">
      <c r="A20" s="18"/>
      <c r="B20" s="19"/>
      <c r="C20" s="20"/>
      <c r="D20" s="115"/>
      <c r="E20" s="89"/>
      <c r="F20" s="89"/>
      <c r="G20" s="83"/>
      <c r="H20" s="107"/>
      <c r="I20" s="91"/>
      <c r="J20" s="105"/>
      <c r="K20" s="105"/>
      <c r="L20" s="105"/>
      <c r="M20" s="105"/>
      <c r="N20" s="99"/>
      <c r="O20" s="25" t="s">
        <v>48</v>
      </c>
      <c r="P20" s="22">
        <v>0</v>
      </c>
      <c r="Q20" s="22"/>
      <c r="R20" s="22"/>
      <c r="S20" s="22"/>
      <c r="T20" s="22"/>
      <c r="U20" s="22"/>
      <c r="V20" s="22"/>
      <c r="W20" s="22">
        <f t="shared" si="3"/>
        <v>0</v>
      </c>
      <c r="X20" s="101"/>
      <c r="Y20" s="62"/>
      <c r="AD20" s="113"/>
      <c r="AE20" s="103"/>
      <c r="AF20" s="103"/>
    </row>
    <row r="21" spans="1:32" ht="18.600000000000001" thickBot="1" x14ac:dyDescent="0.35">
      <c r="A21" s="18"/>
      <c r="B21" s="19"/>
      <c r="C21" s="20"/>
      <c r="D21" s="114">
        <v>8</v>
      </c>
      <c r="E21" s="88" t="s">
        <v>54</v>
      </c>
      <c r="F21" s="88"/>
      <c r="G21" s="82"/>
      <c r="H21" s="106"/>
      <c r="I21" s="90"/>
      <c r="J21" s="104"/>
      <c r="K21" s="104"/>
      <c r="L21" s="108"/>
      <c r="M21" s="98"/>
      <c r="N21" s="98"/>
      <c r="O21" s="21" t="s">
        <v>46</v>
      </c>
      <c r="P21" s="22">
        <v>1</v>
      </c>
      <c r="Q21" s="22"/>
      <c r="R21" s="22"/>
      <c r="S21" s="22"/>
      <c r="T21" s="22"/>
      <c r="U21" s="22"/>
      <c r="V21" s="22"/>
      <c r="W21" s="22">
        <f t="shared" si="3"/>
        <v>0</v>
      </c>
      <c r="X21" s="100" t="str">
        <f t="shared" si="2"/>
        <v/>
      </c>
      <c r="Y21" s="110"/>
      <c r="AD21" s="112" t="str">
        <f t="shared" ref="AD21:AD27" si="6">IF(X21="","",IF(X21&lt;0.9,"N","S"))</f>
        <v/>
      </c>
      <c r="AE21" s="102"/>
      <c r="AF21" s="102"/>
    </row>
    <row r="22" spans="1:32" ht="18.600000000000001" thickBot="1" x14ac:dyDescent="0.35">
      <c r="A22" s="18"/>
      <c r="B22" s="19"/>
      <c r="C22" s="20"/>
      <c r="D22" s="115"/>
      <c r="E22" s="89"/>
      <c r="F22" s="89"/>
      <c r="G22" s="83"/>
      <c r="H22" s="107"/>
      <c r="I22" s="91"/>
      <c r="J22" s="105"/>
      <c r="K22" s="105"/>
      <c r="L22" s="109"/>
      <c r="M22" s="99"/>
      <c r="N22" s="99"/>
      <c r="O22" s="25" t="s">
        <v>48</v>
      </c>
      <c r="P22" s="22">
        <v>0</v>
      </c>
      <c r="Q22" s="22"/>
      <c r="R22" s="22"/>
      <c r="S22" s="22"/>
      <c r="T22" s="22"/>
      <c r="U22" s="22"/>
      <c r="V22" s="22"/>
      <c r="W22" s="22">
        <f t="shared" si="3"/>
        <v>0</v>
      </c>
      <c r="X22" s="101"/>
      <c r="Y22" s="111"/>
      <c r="AD22" s="113"/>
      <c r="AE22" s="103"/>
      <c r="AF22" s="103"/>
    </row>
    <row r="23" spans="1:32" ht="18.75" customHeight="1" thickBot="1" x14ac:dyDescent="0.35">
      <c r="A23" s="18"/>
      <c r="B23" s="19"/>
      <c r="C23" s="20"/>
      <c r="D23" s="114">
        <v>9</v>
      </c>
      <c r="E23" s="88" t="s">
        <v>55</v>
      </c>
      <c r="F23" s="88"/>
      <c r="G23" s="82"/>
      <c r="H23" s="106"/>
      <c r="I23" s="90"/>
      <c r="J23" s="104"/>
      <c r="K23" s="104"/>
      <c r="L23" s="108"/>
      <c r="M23" s="98"/>
      <c r="N23" s="98"/>
      <c r="O23" s="21" t="s">
        <v>46</v>
      </c>
      <c r="P23" s="22">
        <v>1</v>
      </c>
      <c r="Q23" s="22"/>
      <c r="R23" s="22"/>
      <c r="S23" s="22"/>
      <c r="T23" s="22"/>
      <c r="U23" s="22"/>
      <c r="V23" s="22"/>
      <c r="W23" s="22">
        <f t="shared" si="3"/>
        <v>0</v>
      </c>
      <c r="X23" s="100" t="str">
        <f t="shared" si="2"/>
        <v/>
      </c>
      <c r="Y23" s="110"/>
      <c r="AD23" s="112" t="str">
        <f t="shared" si="6"/>
        <v/>
      </c>
      <c r="AE23" s="102"/>
      <c r="AF23" s="102"/>
    </row>
    <row r="24" spans="1:32" ht="18.600000000000001" thickBot="1" x14ac:dyDescent="0.35">
      <c r="A24" s="18"/>
      <c r="B24" s="19"/>
      <c r="C24" s="20"/>
      <c r="D24" s="115"/>
      <c r="E24" s="89"/>
      <c r="F24" s="89"/>
      <c r="G24" s="83"/>
      <c r="H24" s="107"/>
      <c r="I24" s="91"/>
      <c r="J24" s="105"/>
      <c r="K24" s="105"/>
      <c r="L24" s="109"/>
      <c r="M24" s="99"/>
      <c r="N24" s="99"/>
      <c r="O24" s="25" t="s">
        <v>48</v>
      </c>
      <c r="P24" s="22">
        <v>0</v>
      </c>
      <c r="Q24" s="22"/>
      <c r="R24" s="22"/>
      <c r="S24" s="22"/>
      <c r="T24" s="22"/>
      <c r="U24" s="22"/>
      <c r="V24" s="22"/>
      <c r="W24" s="22">
        <f t="shared" si="3"/>
        <v>0</v>
      </c>
      <c r="X24" s="101"/>
      <c r="Y24" s="111"/>
      <c r="AD24" s="113"/>
      <c r="AE24" s="103"/>
      <c r="AF24" s="103"/>
    </row>
    <row r="25" spans="1:32" ht="18.600000000000001" thickBot="1" x14ac:dyDescent="0.35">
      <c r="A25" s="18"/>
      <c r="B25" s="19"/>
      <c r="C25" s="20"/>
      <c r="D25" s="114">
        <v>10</v>
      </c>
      <c r="E25" s="88" t="s">
        <v>56</v>
      </c>
      <c r="F25" s="88"/>
      <c r="G25" s="82"/>
      <c r="H25" s="106"/>
      <c r="I25" s="90"/>
      <c r="J25" s="104"/>
      <c r="K25" s="104"/>
      <c r="L25" s="108"/>
      <c r="M25" s="98"/>
      <c r="N25" s="98"/>
      <c r="O25" s="21" t="s">
        <v>46</v>
      </c>
      <c r="P25" s="22">
        <v>1</v>
      </c>
      <c r="Q25" s="22"/>
      <c r="R25" s="22"/>
      <c r="S25" s="22"/>
      <c r="T25" s="22"/>
      <c r="U25" s="22"/>
      <c r="V25" s="22"/>
      <c r="W25" s="22">
        <f t="shared" si="3"/>
        <v>0</v>
      </c>
      <c r="X25" s="100" t="str">
        <f>IFERROR(W26/W25,"")</f>
        <v/>
      </c>
      <c r="Y25" s="110"/>
      <c r="AD25" s="112" t="str">
        <f t="shared" si="6"/>
        <v/>
      </c>
      <c r="AE25" s="102"/>
      <c r="AF25" s="102"/>
    </row>
    <row r="26" spans="1:32" ht="18.600000000000001" thickBot="1" x14ac:dyDescent="0.35">
      <c r="A26" s="18"/>
      <c r="B26" s="19"/>
      <c r="C26" s="20"/>
      <c r="D26" s="115"/>
      <c r="E26" s="89"/>
      <c r="F26" s="89"/>
      <c r="G26" s="83"/>
      <c r="H26" s="107"/>
      <c r="I26" s="91"/>
      <c r="J26" s="105"/>
      <c r="K26" s="105"/>
      <c r="L26" s="109"/>
      <c r="M26" s="99"/>
      <c r="N26" s="99"/>
      <c r="O26" s="25" t="s">
        <v>48</v>
      </c>
      <c r="P26" s="22">
        <v>0</v>
      </c>
      <c r="Q26" s="22"/>
      <c r="R26" s="22"/>
      <c r="S26" s="22"/>
      <c r="T26" s="22"/>
      <c r="U26" s="22"/>
      <c r="V26" s="22"/>
      <c r="W26" s="22">
        <f t="shared" si="3"/>
        <v>0</v>
      </c>
      <c r="X26" s="101"/>
      <c r="Y26" s="111"/>
      <c r="AD26" s="113"/>
      <c r="AE26" s="103"/>
      <c r="AF26" s="103"/>
    </row>
    <row r="27" spans="1:32" ht="18.600000000000001" thickBot="1" x14ac:dyDescent="0.35">
      <c r="A27" s="18"/>
      <c r="B27" s="19"/>
      <c r="C27" s="20"/>
      <c r="D27" s="114">
        <v>11</v>
      </c>
      <c r="E27" s="88" t="s">
        <v>57</v>
      </c>
      <c r="F27" s="88"/>
      <c r="G27" s="82"/>
      <c r="H27" s="106"/>
      <c r="I27" s="90"/>
      <c r="J27" s="104"/>
      <c r="K27" s="104"/>
      <c r="L27" s="108"/>
      <c r="M27" s="98"/>
      <c r="N27" s="98"/>
      <c r="O27" s="21" t="s">
        <v>46</v>
      </c>
      <c r="P27" s="22">
        <v>1</v>
      </c>
      <c r="Q27" s="22"/>
      <c r="R27" s="22"/>
      <c r="S27" s="22"/>
      <c r="T27" s="22"/>
      <c r="U27" s="22"/>
      <c r="V27" s="22"/>
      <c r="W27" s="22">
        <f t="shared" si="3"/>
        <v>0</v>
      </c>
      <c r="X27" s="100" t="str">
        <f t="shared" si="2"/>
        <v/>
      </c>
      <c r="Y27" s="110"/>
      <c r="AD27" s="112" t="str">
        <f t="shared" si="6"/>
        <v/>
      </c>
      <c r="AE27" s="102"/>
      <c r="AF27" s="102"/>
    </row>
    <row r="28" spans="1:32" ht="18.600000000000001" thickBot="1" x14ac:dyDescent="0.35">
      <c r="A28" s="18"/>
      <c r="B28" s="19"/>
      <c r="C28" s="20"/>
      <c r="D28" s="115"/>
      <c r="E28" s="89"/>
      <c r="F28" s="89"/>
      <c r="G28" s="83"/>
      <c r="H28" s="107"/>
      <c r="I28" s="91"/>
      <c r="J28" s="105"/>
      <c r="K28" s="105"/>
      <c r="L28" s="109"/>
      <c r="M28" s="99"/>
      <c r="N28" s="99"/>
      <c r="O28" s="25" t="s">
        <v>48</v>
      </c>
      <c r="P28" s="22">
        <v>0</v>
      </c>
      <c r="Q28" s="22"/>
      <c r="R28" s="22"/>
      <c r="S28" s="22"/>
      <c r="T28" s="22"/>
      <c r="U28" s="22"/>
      <c r="V28" s="22"/>
      <c r="W28" s="22">
        <f t="shared" si="3"/>
        <v>0</v>
      </c>
      <c r="X28" s="101"/>
      <c r="Y28" s="111"/>
      <c r="AD28" s="113"/>
      <c r="AE28" s="103"/>
      <c r="AF28" s="103"/>
    </row>
    <row r="29" spans="1:32" ht="18.75" customHeight="1" thickBot="1" x14ac:dyDescent="0.35">
      <c r="A29" s="18"/>
      <c r="B29" s="19"/>
      <c r="C29" s="20"/>
      <c r="D29" s="114">
        <v>12</v>
      </c>
      <c r="E29" s="88" t="s">
        <v>58</v>
      </c>
      <c r="F29" s="88"/>
      <c r="G29" s="82"/>
      <c r="H29" s="106"/>
      <c r="I29" s="90"/>
      <c r="J29" s="104"/>
      <c r="K29" s="104"/>
      <c r="L29" s="108"/>
      <c r="M29" s="98"/>
      <c r="N29" s="98"/>
      <c r="O29" s="21" t="s">
        <v>46</v>
      </c>
      <c r="P29" s="22">
        <v>1</v>
      </c>
      <c r="Q29" s="22"/>
      <c r="R29" s="22"/>
      <c r="S29" s="22"/>
      <c r="T29" s="22"/>
      <c r="U29" s="22"/>
      <c r="V29" s="22"/>
      <c r="W29" s="22">
        <f t="shared" si="3"/>
        <v>0</v>
      </c>
      <c r="X29" s="100" t="str">
        <f t="shared" si="2"/>
        <v/>
      </c>
      <c r="Y29" s="110"/>
      <c r="AD29" s="112" t="str">
        <f t="shared" ref="AD29" si="7">IF(X29="","",IF(X29&lt;0.9,"N","S"))</f>
        <v/>
      </c>
      <c r="AE29" s="102"/>
      <c r="AF29" s="102"/>
    </row>
    <row r="30" spans="1:32" ht="21" customHeight="1" thickBot="1" x14ac:dyDescent="0.35">
      <c r="A30" s="18"/>
      <c r="B30" s="19"/>
      <c r="C30" s="20"/>
      <c r="D30" s="115"/>
      <c r="E30" s="89"/>
      <c r="F30" s="89"/>
      <c r="G30" s="83"/>
      <c r="H30" s="107"/>
      <c r="I30" s="91"/>
      <c r="J30" s="105"/>
      <c r="K30" s="105"/>
      <c r="L30" s="109"/>
      <c r="M30" s="99"/>
      <c r="N30" s="99"/>
      <c r="O30" s="25" t="s">
        <v>48</v>
      </c>
      <c r="P30" s="22">
        <v>0</v>
      </c>
      <c r="Q30" s="22"/>
      <c r="R30" s="22"/>
      <c r="S30" s="22"/>
      <c r="T30" s="22"/>
      <c r="U30" s="22"/>
      <c r="V30" s="22"/>
      <c r="W30" s="22">
        <f t="shared" si="3"/>
        <v>0</v>
      </c>
      <c r="X30" s="101"/>
      <c r="Y30" s="111"/>
      <c r="AD30" s="113"/>
      <c r="AE30" s="103"/>
      <c r="AF30" s="103"/>
    </row>
    <row r="31" spans="1:32" ht="18.600000000000001" thickBot="1" x14ac:dyDescent="0.35">
      <c r="A31" s="18"/>
      <c r="B31" s="19"/>
      <c r="C31" s="20"/>
      <c r="D31" s="114">
        <v>13</v>
      </c>
      <c r="E31" s="88" t="s">
        <v>45</v>
      </c>
      <c r="F31" s="88"/>
      <c r="G31" s="82"/>
      <c r="H31" s="106"/>
      <c r="I31" s="90"/>
      <c r="J31" s="104"/>
      <c r="K31" s="104"/>
      <c r="L31" s="108"/>
      <c r="M31" s="98"/>
      <c r="N31" s="98"/>
      <c r="O31" s="21" t="s">
        <v>46</v>
      </c>
      <c r="P31" s="22">
        <v>1</v>
      </c>
      <c r="Q31" s="22"/>
      <c r="R31" s="22"/>
      <c r="S31" s="22"/>
      <c r="T31" s="22"/>
      <c r="U31" s="22"/>
      <c r="V31" s="22"/>
      <c r="W31" s="22">
        <f t="shared" si="3"/>
        <v>0</v>
      </c>
      <c r="X31" s="100" t="str">
        <f t="shared" si="2"/>
        <v/>
      </c>
      <c r="Y31" s="110"/>
      <c r="AD31" s="112" t="str">
        <f t="shared" ref="AD31" si="8">IF(X31="","",IF(X31&lt;0.9,"N","S"))</f>
        <v/>
      </c>
      <c r="AE31" s="102"/>
      <c r="AF31" s="102"/>
    </row>
    <row r="32" spans="1:32" ht="18.600000000000001" thickBot="1" x14ac:dyDescent="0.35">
      <c r="A32" s="18"/>
      <c r="B32" s="19"/>
      <c r="C32" s="20"/>
      <c r="D32" s="115"/>
      <c r="E32" s="89"/>
      <c r="F32" s="89"/>
      <c r="G32" s="83"/>
      <c r="H32" s="107"/>
      <c r="I32" s="91"/>
      <c r="J32" s="105"/>
      <c r="K32" s="105"/>
      <c r="L32" s="109"/>
      <c r="M32" s="99"/>
      <c r="N32" s="99"/>
      <c r="O32" s="25" t="s">
        <v>48</v>
      </c>
      <c r="P32" s="22">
        <v>0</v>
      </c>
      <c r="Q32" s="22"/>
      <c r="R32" s="22"/>
      <c r="S32" s="22"/>
      <c r="T32" s="22"/>
      <c r="U32" s="22"/>
      <c r="V32" s="22"/>
      <c r="W32" s="22">
        <f t="shared" si="3"/>
        <v>0</v>
      </c>
      <c r="X32" s="101"/>
      <c r="Y32" s="111"/>
      <c r="AD32" s="113"/>
      <c r="AE32" s="103"/>
      <c r="AF32" s="103"/>
    </row>
    <row r="33" spans="1:32" ht="18.75" customHeight="1" thickBot="1" x14ac:dyDescent="0.35">
      <c r="A33" s="18"/>
      <c r="B33" s="19"/>
      <c r="C33" s="20"/>
      <c r="D33" s="114">
        <v>14</v>
      </c>
      <c r="E33" s="88" t="s">
        <v>59</v>
      </c>
      <c r="F33" s="88"/>
      <c r="G33" s="82"/>
      <c r="H33" s="106"/>
      <c r="I33" s="90"/>
      <c r="J33" s="104"/>
      <c r="K33" s="104"/>
      <c r="L33" s="108"/>
      <c r="M33" s="98"/>
      <c r="N33" s="98"/>
      <c r="O33" s="21" t="s">
        <v>46</v>
      </c>
      <c r="P33" s="22">
        <v>1</v>
      </c>
      <c r="Q33" s="22"/>
      <c r="R33" s="22"/>
      <c r="S33" s="22"/>
      <c r="T33" s="22"/>
      <c r="U33" s="22"/>
      <c r="V33" s="22"/>
      <c r="W33" s="22">
        <f t="shared" si="3"/>
        <v>0</v>
      </c>
      <c r="X33" s="100" t="str">
        <f t="shared" si="2"/>
        <v/>
      </c>
      <c r="Y33" s="110"/>
      <c r="AD33" s="112" t="str">
        <f t="shared" ref="AD33" si="9">IF(X33="","",IF(X33&lt;0.9,"N","S"))</f>
        <v/>
      </c>
      <c r="AE33" s="102"/>
      <c r="AF33" s="102"/>
    </row>
    <row r="34" spans="1:32" ht="18.600000000000001" thickBot="1" x14ac:dyDescent="0.35">
      <c r="A34" s="18"/>
      <c r="B34" s="19"/>
      <c r="C34" s="20"/>
      <c r="D34" s="115"/>
      <c r="E34" s="89"/>
      <c r="F34" s="89"/>
      <c r="G34" s="83"/>
      <c r="H34" s="107"/>
      <c r="I34" s="91"/>
      <c r="J34" s="105"/>
      <c r="K34" s="105"/>
      <c r="L34" s="109"/>
      <c r="M34" s="99"/>
      <c r="N34" s="99"/>
      <c r="O34" s="25" t="s">
        <v>48</v>
      </c>
      <c r="P34" s="22">
        <v>0</v>
      </c>
      <c r="Q34" s="22"/>
      <c r="R34" s="22"/>
      <c r="S34" s="22"/>
      <c r="T34" s="22"/>
      <c r="U34" s="22"/>
      <c r="V34" s="22"/>
      <c r="W34" s="22">
        <f t="shared" si="3"/>
        <v>0</v>
      </c>
      <c r="X34" s="101"/>
      <c r="Y34" s="111"/>
      <c r="AD34" s="113"/>
      <c r="AE34" s="103"/>
      <c r="AF34" s="103"/>
    </row>
    <row r="35" spans="1:32" ht="18.600000000000001" thickBot="1" x14ac:dyDescent="0.35">
      <c r="A35" s="18"/>
      <c r="B35" s="19"/>
      <c r="C35" s="20"/>
      <c r="D35" s="114">
        <v>15</v>
      </c>
      <c r="E35" s="88" t="s">
        <v>60</v>
      </c>
      <c r="F35" s="88"/>
      <c r="G35" s="82"/>
      <c r="H35" s="106"/>
      <c r="I35" s="90"/>
      <c r="J35" s="104"/>
      <c r="K35" s="104"/>
      <c r="L35" s="108"/>
      <c r="M35" s="98"/>
      <c r="N35" s="98"/>
      <c r="O35" s="21" t="s">
        <v>46</v>
      </c>
      <c r="P35" s="22">
        <v>1</v>
      </c>
      <c r="Q35" s="22"/>
      <c r="R35" s="22"/>
      <c r="S35" s="22"/>
      <c r="T35" s="22"/>
      <c r="U35" s="22"/>
      <c r="V35" s="22"/>
      <c r="W35" s="22">
        <f t="shared" si="3"/>
        <v>0</v>
      </c>
      <c r="X35" s="100" t="str">
        <f t="shared" si="2"/>
        <v/>
      </c>
      <c r="Y35" s="110"/>
      <c r="AD35" s="112" t="str">
        <f t="shared" ref="AD35" si="10">IF(X35="","",IF(X35&lt;0.9,"N","S"))</f>
        <v/>
      </c>
      <c r="AE35" s="102"/>
      <c r="AF35" s="102"/>
    </row>
    <row r="36" spans="1:32" ht="18.600000000000001" thickBot="1" x14ac:dyDescent="0.35">
      <c r="A36" s="18"/>
      <c r="B36" s="19"/>
      <c r="C36" s="20"/>
      <c r="D36" s="115"/>
      <c r="E36" s="89"/>
      <c r="F36" s="89"/>
      <c r="G36" s="83"/>
      <c r="H36" s="107"/>
      <c r="I36" s="91"/>
      <c r="J36" s="105"/>
      <c r="K36" s="105"/>
      <c r="L36" s="109"/>
      <c r="M36" s="99"/>
      <c r="N36" s="99"/>
      <c r="O36" s="25" t="s">
        <v>48</v>
      </c>
      <c r="P36" s="22">
        <v>0</v>
      </c>
      <c r="Q36" s="22"/>
      <c r="R36" s="22"/>
      <c r="S36" s="22"/>
      <c r="T36" s="22"/>
      <c r="U36" s="22"/>
      <c r="V36" s="22"/>
      <c r="W36" s="22">
        <f t="shared" si="3"/>
        <v>0</v>
      </c>
      <c r="X36" s="101"/>
      <c r="Y36" s="111"/>
      <c r="AD36" s="113"/>
      <c r="AE36" s="103"/>
      <c r="AF36" s="103"/>
    </row>
    <row r="37" spans="1:32" ht="18.75" customHeight="1" thickBot="1" x14ac:dyDescent="0.35">
      <c r="A37" s="18"/>
      <c r="B37" s="19"/>
      <c r="C37" s="20"/>
      <c r="D37" s="114">
        <v>18</v>
      </c>
      <c r="E37" s="88" t="s">
        <v>61</v>
      </c>
      <c r="F37" s="88"/>
      <c r="G37" s="82"/>
      <c r="H37" s="106"/>
      <c r="I37" s="90"/>
      <c r="J37" s="104"/>
      <c r="K37" s="104"/>
      <c r="L37" s="108"/>
      <c r="M37" s="98"/>
      <c r="N37" s="98"/>
      <c r="O37" s="21" t="s">
        <v>46</v>
      </c>
      <c r="P37" s="22">
        <v>1</v>
      </c>
      <c r="Q37" s="22"/>
      <c r="R37" s="22"/>
      <c r="S37" s="22"/>
      <c r="T37" s="22"/>
      <c r="U37" s="22"/>
      <c r="V37" s="22"/>
      <c r="W37" s="22">
        <f t="shared" si="3"/>
        <v>0</v>
      </c>
      <c r="X37" s="100" t="str">
        <f t="shared" si="2"/>
        <v/>
      </c>
      <c r="Y37" s="110"/>
      <c r="AD37" s="112" t="str">
        <f t="shared" ref="AD37:AD43" si="11">IF(X37="","",IF(X37&lt;0.9,"N","S"))</f>
        <v/>
      </c>
      <c r="AE37" s="102"/>
      <c r="AF37" s="102"/>
    </row>
    <row r="38" spans="1:32" ht="18.600000000000001" thickBot="1" x14ac:dyDescent="0.35">
      <c r="A38" s="18"/>
      <c r="B38" s="19"/>
      <c r="C38" s="20"/>
      <c r="D38" s="115"/>
      <c r="E38" s="89"/>
      <c r="F38" s="89"/>
      <c r="G38" s="83"/>
      <c r="H38" s="107"/>
      <c r="I38" s="91"/>
      <c r="J38" s="105"/>
      <c r="K38" s="105"/>
      <c r="L38" s="109"/>
      <c r="M38" s="99"/>
      <c r="N38" s="99"/>
      <c r="O38" s="21" t="s">
        <v>48</v>
      </c>
      <c r="P38" s="22">
        <v>0</v>
      </c>
      <c r="Q38" s="22"/>
      <c r="R38" s="22"/>
      <c r="S38" s="22"/>
      <c r="T38" s="22"/>
      <c r="U38" s="22"/>
      <c r="V38" s="22"/>
      <c r="W38" s="22">
        <f t="shared" si="3"/>
        <v>0</v>
      </c>
      <c r="X38" s="101"/>
      <c r="Y38" s="111"/>
      <c r="AD38" s="113"/>
      <c r="AE38" s="103"/>
      <c r="AF38" s="103"/>
    </row>
    <row r="39" spans="1:32" ht="18.75" customHeight="1" thickBot="1" x14ac:dyDescent="0.35">
      <c r="A39" s="18"/>
      <c r="B39" s="19"/>
      <c r="C39" s="20"/>
      <c r="D39" s="114">
        <v>20</v>
      </c>
      <c r="E39" s="88" t="s">
        <v>62</v>
      </c>
      <c r="F39" s="88"/>
      <c r="G39" s="82"/>
      <c r="H39" s="106"/>
      <c r="I39" s="90"/>
      <c r="J39" s="104"/>
      <c r="K39" s="104"/>
      <c r="L39" s="104"/>
      <c r="M39" s="104"/>
      <c r="N39" s="98"/>
      <c r="O39" s="21" t="s">
        <v>46</v>
      </c>
      <c r="P39" s="22">
        <v>1</v>
      </c>
      <c r="Q39" s="22"/>
      <c r="R39" s="22"/>
      <c r="S39" s="22"/>
      <c r="T39" s="22"/>
      <c r="U39" s="22"/>
      <c r="V39" s="22"/>
      <c r="W39" s="22">
        <f t="shared" si="3"/>
        <v>0</v>
      </c>
      <c r="X39" s="100" t="str">
        <f t="shared" si="2"/>
        <v/>
      </c>
      <c r="Y39" s="70"/>
      <c r="AD39" s="112" t="str">
        <f t="shared" si="11"/>
        <v/>
      </c>
      <c r="AE39" s="102"/>
      <c r="AF39" s="102"/>
    </row>
    <row r="40" spans="1:32" ht="18.75" customHeight="1" thickBot="1" x14ac:dyDescent="0.35">
      <c r="A40" s="18"/>
      <c r="B40" s="19"/>
      <c r="C40" s="20"/>
      <c r="D40" s="115"/>
      <c r="E40" s="89"/>
      <c r="F40" s="89"/>
      <c r="G40" s="83"/>
      <c r="H40" s="107"/>
      <c r="I40" s="91"/>
      <c r="J40" s="105"/>
      <c r="K40" s="105"/>
      <c r="L40" s="105"/>
      <c r="M40" s="105"/>
      <c r="N40" s="99"/>
      <c r="O40" s="21" t="s">
        <v>48</v>
      </c>
      <c r="P40" s="22">
        <v>0</v>
      </c>
      <c r="Q40" s="22"/>
      <c r="R40" s="22"/>
      <c r="S40" s="22"/>
      <c r="T40" s="22"/>
      <c r="U40" s="22"/>
      <c r="V40" s="22"/>
      <c r="W40" s="22">
        <f t="shared" si="3"/>
        <v>0</v>
      </c>
      <c r="X40" s="101"/>
      <c r="AD40" s="113"/>
      <c r="AE40" s="103"/>
      <c r="AF40" s="103"/>
    </row>
    <row r="41" spans="1:32" ht="18.75" hidden="1" customHeight="1" thickBot="1" x14ac:dyDescent="0.35">
      <c r="A41" s="18"/>
      <c r="B41" s="19"/>
      <c r="C41" s="20"/>
      <c r="D41" s="114">
        <v>21</v>
      </c>
      <c r="E41" s="88" t="s">
        <v>63</v>
      </c>
      <c r="F41" s="88"/>
      <c r="G41" s="82"/>
      <c r="H41" s="106"/>
      <c r="I41" s="90"/>
      <c r="J41" s="67"/>
      <c r="K41" s="66"/>
      <c r="L41" s="69"/>
      <c r="M41" s="68"/>
      <c r="N41" s="98"/>
      <c r="O41" s="21" t="s">
        <v>46</v>
      </c>
      <c r="P41" s="22">
        <v>1</v>
      </c>
      <c r="Q41" s="22"/>
      <c r="R41" s="22"/>
      <c r="S41" s="22"/>
      <c r="T41" s="22"/>
      <c r="U41" s="22"/>
      <c r="V41" s="22"/>
      <c r="W41" s="22">
        <f t="shared" si="3"/>
        <v>0</v>
      </c>
      <c r="X41" s="100" t="str">
        <f t="shared" si="2"/>
        <v/>
      </c>
      <c r="Y41" s="70"/>
      <c r="AD41" s="112" t="str">
        <f t="shared" si="11"/>
        <v/>
      </c>
      <c r="AE41" s="102"/>
      <c r="AF41" s="102"/>
    </row>
    <row r="42" spans="1:32" ht="21.75" hidden="1" customHeight="1" thickBot="1" x14ac:dyDescent="0.35">
      <c r="A42" s="18"/>
      <c r="B42" s="19"/>
      <c r="C42" s="20"/>
      <c r="D42" s="115"/>
      <c r="E42" s="89"/>
      <c r="F42" s="89"/>
      <c r="G42" s="83"/>
      <c r="H42" s="107"/>
      <c r="I42" s="91"/>
      <c r="N42" s="99"/>
      <c r="O42" s="21" t="s">
        <v>48</v>
      </c>
      <c r="P42" s="22">
        <v>0</v>
      </c>
      <c r="Q42" s="26"/>
      <c r="R42" s="26"/>
      <c r="S42" s="26"/>
      <c r="T42" s="26"/>
      <c r="U42" s="26"/>
      <c r="V42" s="26"/>
      <c r="W42" s="57">
        <f t="shared" si="3"/>
        <v>0</v>
      </c>
      <c r="X42" s="101"/>
      <c r="AD42" s="113"/>
      <c r="AE42" s="103"/>
      <c r="AF42" s="103"/>
    </row>
    <row r="43" spans="1:32" ht="18.75" customHeight="1" thickBot="1" x14ac:dyDescent="0.35">
      <c r="A43" s="18"/>
      <c r="B43" s="19"/>
      <c r="C43" s="20"/>
      <c r="D43" s="114">
        <v>22</v>
      </c>
      <c r="E43" s="88" t="s">
        <v>64</v>
      </c>
      <c r="F43" s="88"/>
      <c r="G43" s="82"/>
      <c r="H43" s="106"/>
      <c r="I43" s="90"/>
      <c r="J43" s="104"/>
      <c r="K43" s="104"/>
      <c r="L43" s="104"/>
      <c r="M43" s="104"/>
      <c r="N43" s="98"/>
      <c r="O43" s="21" t="s">
        <v>46</v>
      </c>
      <c r="P43" s="22">
        <v>1</v>
      </c>
      <c r="Q43" s="22"/>
      <c r="R43" s="22"/>
      <c r="S43" s="22"/>
      <c r="T43" s="22"/>
      <c r="U43" s="22"/>
      <c r="V43" s="22"/>
      <c r="W43" s="22">
        <f t="shared" si="3"/>
        <v>0</v>
      </c>
      <c r="X43" s="100" t="str">
        <f t="shared" si="2"/>
        <v/>
      </c>
      <c r="Y43" s="70"/>
      <c r="AD43" s="112" t="str">
        <f t="shared" si="11"/>
        <v/>
      </c>
      <c r="AE43" s="102"/>
      <c r="AF43" s="102"/>
    </row>
    <row r="44" spans="1:32" ht="18.600000000000001" thickBot="1" x14ac:dyDescent="0.35">
      <c r="A44" s="18"/>
      <c r="B44" s="19"/>
      <c r="C44" s="20"/>
      <c r="D44" s="115"/>
      <c r="E44" s="89"/>
      <c r="F44" s="89"/>
      <c r="G44" s="83"/>
      <c r="H44" s="107"/>
      <c r="I44" s="91"/>
      <c r="J44" s="105"/>
      <c r="K44" s="105"/>
      <c r="L44" s="105"/>
      <c r="M44" s="105"/>
      <c r="N44" s="99"/>
      <c r="O44" s="21" t="s">
        <v>48</v>
      </c>
      <c r="P44" s="22">
        <v>0</v>
      </c>
      <c r="Q44" s="22"/>
      <c r="R44" s="22"/>
      <c r="S44" s="22"/>
      <c r="T44" s="22"/>
      <c r="U44" s="22"/>
      <c r="V44" s="22"/>
      <c r="W44" s="22">
        <f t="shared" si="3"/>
        <v>0</v>
      </c>
      <c r="X44" s="101"/>
      <c r="AD44" s="113"/>
      <c r="AE44" s="103"/>
      <c r="AF44" s="103"/>
    </row>
    <row r="45" spans="1:32" ht="18.75" customHeight="1" thickBot="1" x14ac:dyDescent="0.35">
      <c r="A45" s="18"/>
      <c r="B45" s="19"/>
      <c r="C45" s="20"/>
      <c r="D45" s="114">
        <v>23</v>
      </c>
      <c r="E45" s="88" t="s">
        <v>65</v>
      </c>
      <c r="F45" s="88"/>
      <c r="G45" s="82"/>
      <c r="H45" s="106"/>
      <c r="I45" s="90"/>
      <c r="J45" s="104"/>
      <c r="K45" s="104"/>
      <c r="L45" s="104"/>
      <c r="M45" s="104"/>
      <c r="N45" s="98"/>
      <c r="O45" s="21" t="s">
        <v>46</v>
      </c>
      <c r="P45" s="22">
        <v>1</v>
      </c>
      <c r="Q45" s="22"/>
      <c r="R45" s="22"/>
      <c r="S45" s="22"/>
      <c r="T45" s="22"/>
      <c r="U45" s="22"/>
      <c r="V45" s="22"/>
      <c r="W45" s="22">
        <f t="shared" ref="W45:W46" si="12">SUM(Q45:V45)</f>
        <v>0</v>
      </c>
      <c r="X45" s="100" t="str">
        <f>IFERROR(W46/W45,"")</f>
        <v/>
      </c>
      <c r="Y45" s="70"/>
      <c r="AD45" s="112" t="str">
        <f t="shared" ref="AD45" si="13">IF(X45="","",IF(X45&lt;0.9,"N","S"))</f>
        <v/>
      </c>
      <c r="AE45" s="102"/>
      <c r="AF45" s="102"/>
    </row>
    <row r="46" spans="1:32" ht="19.5" customHeight="1" thickBot="1" x14ac:dyDescent="0.35">
      <c r="A46" s="18"/>
      <c r="B46" s="19"/>
      <c r="C46" s="20"/>
      <c r="D46" s="115"/>
      <c r="E46" s="89"/>
      <c r="F46" s="89"/>
      <c r="G46" s="83"/>
      <c r="H46" s="107"/>
      <c r="I46" s="91"/>
      <c r="J46" s="105"/>
      <c r="K46" s="105"/>
      <c r="L46" s="105"/>
      <c r="M46" s="105"/>
      <c r="N46" s="99"/>
      <c r="O46" s="21" t="s">
        <v>48</v>
      </c>
      <c r="P46" s="22">
        <v>0</v>
      </c>
      <c r="Q46" s="22"/>
      <c r="R46" s="22"/>
      <c r="S46" s="22"/>
      <c r="T46" s="22"/>
      <c r="U46" s="22"/>
      <c r="V46" s="22"/>
      <c r="W46" s="22">
        <f t="shared" si="12"/>
        <v>0</v>
      </c>
      <c r="X46" s="101"/>
      <c r="AD46" s="113"/>
      <c r="AE46" s="103"/>
      <c r="AF46" s="103"/>
    </row>
    <row r="47" spans="1:32" ht="18.75" customHeight="1" thickBot="1" x14ac:dyDescent="0.35">
      <c r="A47" s="18"/>
      <c r="B47" s="19"/>
      <c r="C47" s="20"/>
      <c r="D47" s="114">
        <v>24</v>
      </c>
      <c r="E47" s="88" t="s">
        <v>66</v>
      </c>
      <c r="F47" s="88"/>
      <c r="G47" s="82"/>
      <c r="H47" s="106"/>
      <c r="I47" s="90"/>
      <c r="J47" s="104"/>
      <c r="K47" s="104"/>
      <c r="L47" s="104"/>
      <c r="M47" s="104"/>
      <c r="N47" s="98"/>
      <c r="O47" s="21" t="s">
        <v>46</v>
      </c>
      <c r="P47" s="22">
        <v>1</v>
      </c>
      <c r="Q47" s="22"/>
      <c r="R47" s="22"/>
      <c r="S47" s="22"/>
      <c r="T47" s="22"/>
      <c r="U47" s="22"/>
      <c r="V47" s="22"/>
      <c r="W47" s="22">
        <f t="shared" ref="W47:W48" si="14">SUM(Q47:V47)</f>
        <v>0</v>
      </c>
      <c r="X47" s="100" t="str">
        <f t="shared" si="2"/>
        <v/>
      </c>
      <c r="Y47" s="70"/>
      <c r="AD47" s="112" t="str">
        <f t="shared" ref="AD47" si="15">IF(X47="","",IF(X47&lt;0.9,"N","S"))</f>
        <v/>
      </c>
      <c r="AE47" s="102"/>
      <c r="AF47" s="102"/>
    </row>
    <row r="48" spans="1:32" ht="19.5" customHeight="1" thickBot="1" x14ac:dyDescent="0.35">
      <c r="A48" s="18"/>
      <c r="B48" s="19"/>
      <c r="C48" s="20"/>
      <c r="D48" s="115"/>
      <c r="E48" s="89"/>
      <c r="F48" s="89"/>
      <c r="G48" s="83"/>
      <c r="H48" s="107"/>
      <c r="I48" s="91"/>
      <c r="J48" s="105"/>
      <c r="K48" s="105"/>
      <c r="L48" s="105"/>
      <c r="M48" s="105"/>
      <c r="N48" s="99"/>
      <c r="O48" s="21" t="s">
        <v>48</v>
      </c>
      <c r="P48" s="22">
        <v>0</v>
      </c>
      <c r="Q48" s="22"/>
      <c r="R48" s="22"/>
      <c r="S48" s="22"/>
      <c r="T48" s="22"/>
      <c r="U48" s="22"/>
      <c r="V48" s="22"/>
      <c r="W48" s="22">
        <f t="shared" si="14"/>
        <v>0</v>
      </c>
      <c r="X48" s="101"/>
      <c r="AD48" s="113"/>
      <c r="AE48" s="103"/>
      <c r="AF48" s="103"/>
    </row>
    <row r="49" spans="1:32" ht="18.75" customHeight="1" thickBot="1" x14ac:dyDescent="0.35">
      <c r="A49" s="18"/>
      <c r="B49" s="19"/>
      <c r="C49" s="20"/>
      <c r="D49" s="114">
        <v>25</v>
      </c>
      <c r="E49" s="88" t="s">
        <v>67</v>
      </c>
      <c r="F49" s="88"/>
      <c r="G49" s="82"/>
      <c r="H49" s="106"/>
      <c r="I49" s="90"/>
      <c r="J49" s="104"/>
      <c r="K49" s="104"/>
      <c r="L49" s="104"/>
      <c r="M49" s="104"/>
      <c r="N49" s="98"/>
      <c r="O49" s="21" t="s">
        <v>46</v>
      </c>
      <c r="P49" s="22">
        <v>1</v>
      </c>
      <c r="Q49" s="22"/>
      <c r="R49" s="22"/>
      <c r="S49" s="22"/>
      <c r="T49" s="22"/>
      <c r="U49" s="22"/>
      <c r="V49" s="22"/>
      <c r="W49" s="22">
        <f t="shared" ref="W49:W50" si="16">SUM(Q49:V49)</f>
        <v>0</v>
      </c>
      <c r="X49" s="100" t="str">
        <f t="shared" ref="X49" si="17">IFERROR(W50/W49,"")</f>
        <v/>
      </c>
      <c r="Y49" s="70"/>
      <c r="AD49" s="112" t="str">
        <f t="shared" ref="AD49" si="18">IF(X49="","",IF(X49&lt;0.9,"N","S"))</f>
        <v/>
      </c>
      <c r="AE49" s="102"/>
      <c r="AF49" s="102"/>
    </row>
    <row r="50" spans="1:32" ht="18.600000000000001" thickBot="1" x14ac:dyDescent="0.35">
      <c r="A50" s="18"/>
      <c r="B50" s="19"/>
      <c r="C50" s="20"/>
      <c r="D50" s="115"/>
      <c r="E50" s="89"/>
      <c r="F50" s="89"/>
      <c r="G50" s="83"/>
      <c r="H50" s="107"/>
      <c r="I50" s="91"/>
      <c r="J50" s="105"/>
      <c r="K50" s="105"/>
      <c r="L50" s="105"/>
      <c r="M50" s="105"/>
      <c r="N50" s="99"/>
      <c r="O50" s="21" t="s">
        <v>48</v>
      </c>
      <c r="P50" s="22">
        <v>0</v>
      </c>
      <c r="Q50" s="22"/>
      <c r="R50" s="22"/>
      <c r="S50" s="22"/>
      <c r="T50" s="22"/>
      <c r="U50" s="22"/>
      <c r="V50" s="22"/>
      <c r="W50" s="22">
        <f t="shared" si="16"/>
        <v>0</v>
      </c>
      <c r="X50" s="101"/>
      <c r="AD50" s="113"/>
      <c r="AE50" s="103"/>
      <c r="AF50" s="103"/>
    </row>
    <row r="51" spans="1:32" ht="18.75" customHeight="1" thickBot="1" x14ac:dyDescent="0.35">
      <c r="A51" s="18"/>
      <c r="B51" s="19"/>
      <c r="C51" s="20"/>
      <c r="D51" s="114">
        <v>26</v>
      </c>
      <c r="E51" s="88" t="s">
        <v>68</v>
      </c>
      <c r="F51" s="88"/>
      <c r="G51" s="82"/>
      <c r="H51" s="106"/>
      <c r="I51" s="90"/>
      <c r="J51" s="104"/>
      <c r="K51" s="104"/>
      <c r="L51" s="104"/>
      <c r="M51" s="104"/>
      <c r="N51" s="98"/>
      <c r="O51" s="21" t="s">
        <v>46</v>
      </c>
      <c r="P51" s="22">
        <v>1</v>
      </c>
      <c r="Q51" s="22"/>
      <c r="R51" s="22"/>
      <c r="S51" s="22"/>
      <c r="T51" s="22"/>
      <c r="U51" s="22"/>
      <c r="V51" s="22"/>
      <c r="W51" s="22">
        <f t="shared" ref="W51:W52" si="19">SUM(Q51:V51)</f>
        <v>0</v>
      </c>
      <c r="X51" s="100" t="str">
        <f t="shared" ref="X51" si="20">IFERROR(W52/W51,"")</f>
        <v/>
      </c>
      <c r="Y51" s="70"/>
      <c r="AD51" s="112" t="str">
        <f t="shared" ref="AD51" si="21">IF(X51="","",IF(X51&lt;0.9,"N","S"))</f>
        <v/>
      </c>
      <c r="AE51" s="102"/>
      <c r="AF51" s="102"/>
    </row>
    <row r="52" spans="1:32" ht="18.600000000000001" thickBot="1" x14ac:dyDescent="0.35">
      <c r="A52" s="18"/>
      <c r="B52" s="19"/>
      <c r="C52" s="20"/>
      <c r="D52" s="115"/>
      <c r="E52" s="89"/>
      <c r="F52" s="89"/>
      <c r="G52" s="83"/>
      <c r="H52" s="107"/>
      <c r="I52" s="91"/>
      <c r="J52" s="105"/>
      <c r="K52" s="105"/>
      <c r="L52" s="105"/>
      <c r="M52" s="105"/>
      <c r="N52" s="99"/>
      <c r="O52" s="21" t="s">
        <v>48</v>
      </c>
      <c r="P52" s="22">
        <v>0</v>
      </c>
      <c r="Q52" s="22"/>
      <c r="R52" s="22"/>
      <c r="S52" s="22"/>
      <c r="T52" s="22"/>
      <c r="U52" s="22"/>
      <c r="V52" s="22"/>
      <c r="W52" s="22">
        <f t="shared" si="19"/>
        <v>0</v>
      </c>
      <c r="X52" s="101"/>
      <c r="AD52" s="113"/>
      <c r="AE52" s="103"/>
      <c r="AF52" s="103"/>
    </row>
    <row r="53" spans="1:32" ht="18.75" customHeight="1" thickBot="1" x14ac:dyDescent="0.35">
      <c r="A53" s="18"/>
      <c r="B53" s="19"/>
      <c r="C53" s="20"/>
      <c r="D53" s="114">
        <v>27</v>
      </c>
      <c r="E53" s="88" t="s">
        <v>69</v>
      </c>
      <c r="F53" s="88"/>
      <c r="G53" s="82"/>
      <c r="H53" s="106"/>
      <c r="I53" s="90"/>
      <c r="J53" s="104"/>
      <c r="K53" s="104"/>
      <c r="L53" s="104"/>
      <c r="M53" s="104"/>
      <c r="N53" s="98"/>
      <c r="O53" s="21" t="s">
        <v>46</v>
      </c>
      <c r="P53" s="22">
        <v>1</v>
      </c>
      <c r="Q53" s="22"/>
      <c r="R53" s="22"/>
      <c r="S53" s="22"/>
      <c r="T53" s="22"/>
      <c r="U53" s="22"/>
      <c r="V53" s="22"/>
      <c r="W53" s="22">
        <f t="shared" ref="W53:W54" si="22">SUM(Q53:V53)</f>
        <v>0</v>
      </c>
      <c r="X53" s="100" t="str">
        <f t="shared" ref="X53" si="23">IFERROR(W54/W53,"")</f>
        <v/>
      </c>
      <c r="Y53" s="70"/>
      <c r="AD53" s="112" t="str">
        <f t="shared" ref="AD53" si="24">IF(X53="","",IF(X53&lt;0.9,"N","S"))</f>
        <v/>
      </c>
      <c r="AE53" s="102"/>
      <c r="AF53" s="102"/>
    </row>
    <row r="54" spans="1:32" ht="18.600000000000001" thickBot="1" x14ac:dyDescent="0.35">
      <c r="A54" s="18"/>
      <c r="B54" s="19"/>
      <c r="C54" s="20"/>
      <c r="D54" s="115"/>
      <c r="E54" s="89"/>
      <c r="F54" s="89"/>
      <c r="G54" s="83"/>
      <c r="H54" s="107"/>
      <c r="I54" s="91"/>
      <c r="J54" s="105"/>
      <c r="K54" s="105"/>
      <c r="L54" s="105"/>
      <c r="M54" s="105"/>
      <c r="N54" s="99"/>
      <c r="O54" s="21" t="s">
        <v>48</v>
      </c>
      <c r="P54" s="22">
        <v>0</v>
      </c>
      <c r="Q54" s="22"/>
      <c r="R54" s="22"/>
      <c r="S54" s="22"/>
      <c r="T54" s="22"/>
      <c r="U54" s="22"/>
      <c r="V54" s="22"/>
      <c r="W54" s="22">
        <f t="shared" si="22"/>
        <v>0</v>
      </c>
      <c r="X54" s="101"/>
      <c r="AD54" s="113"/>
      <c r="AE54" s="103"/>
      <c r="AF54" s="103"/>
    </row>
    <row r="55" spans="1:32" ht="46.5" customHeight="1" x14ac:dyDescent="0.3">
      <c r="W55" s="73"/>
      <c r="X55" s="72"/>
    </row>
    <row r="56" spans="1:32" x14ac:dyDescent="0.3">
      <c r="W56" s="73"/>
    </row>
    <row r="57" spans="1:32" x14ac:dyDescent="0.3">
      <c r="L57" s="27" t="s">
        <v>70</v>
      </c>
    </row>
    <row r="67" spans="21:21" x14ac:dyDescent="0.3">
      <c r="U67" s="71"/>
    </row>
  </sheetData>
  <autoFilter ref="C9:Y44" xr:uid="{00000000-0009-0000-0000-000001000000}"/>
  <mergeCells count="339">
    <mergeCell ref="F41:F42"/>
    <mergeCell ref="H41:H42"/>
    <mergeCell ref="I41:I42"/>
    <mergeCell ref="K23:K24"/>
    <mergeCell ref="L35:L36"/>
    <mergeCell ref="H39:H40"/>
    <mergeCell ref="I35:I36"/>
    <mergeCell ref="D35:D36"/>
    <mergeCell ref="D45:D46"/>
    <mergeCell ref="E51:E52"/>
    <mergeCell ref="H51:H52"/>
    <mergeCell ref="D37:D38"/>
    <mergeCell ref="D31:D32"/>
    <mergeCell ref="E31:E32"/>
    <mergeCell ref="D43:D44"/>
    <mergeCell ref="E43:E44"/>
    <mergeCell ref="H43:H44"/>
    <mergeCell ref="F45:F46"/>
    <mergeCell ref="D41:D42"/>
    <mergeCell ref="E41:E42"/>
    <mergeCell ref="E37:E38"/>
    <mergeCell ref="D39:D40"/>
    <mergeCell ref="E39:E40"/>
    <mergeCell ref="F37:F38"/>
    <mergeCell ref="F39:F40"/>
    <mergeCell ref="D29:D30"/>
    <mergeCell ref="E29:E30"/>
    <mergeCell ref="D33:D34"/>
    <mergeCell ref="E33:E34"/>
    <mergeCell ref="D27:D28"/>
    <mergeCell ref="G6:G9"/>
    <mergeCell ref="L43:L44"/>
    <mergeCell ref="L39:L40"/>
    <mergeCell ref="L19:L20"/>
    <mergeCell ref="L13:L14"/>
    <mergeCell ref="I13:I14"/>
    <mergeCell ref="J13:J14"/>
    <mergeCell ref="J19:J20"/>
    <mergeCell ref="J39:J40"/>
    <mergeCell ref="J43:J44"/>
    <mergeCell ref="K13:K14"/>
    <mergeCell ref="K15:K16"/>
    <mergeCell ref="K25:K26"/>
    <mergeCell ref="J25:J26"/>
    <mergeCell ref="H29:H30"/>
    <mergeCell ref="I29:I30"/>
    <mergeCell ref="J29:J30"/>
    <mergeCell ref="H37:H38"/>
    <mergeCell ref="K37:K38"/>
    <mergeCell ref="D53:D54"/>
    <mergeCell ref="E53:E54"/>
    <mergeCell ref="H53:H54"/>
    <mergeCell ref="I53:I54"/>
    <mergeCell ref="D49:D50"/>
    <mergeCell ref="E49:E50"/>
    <mergeCell ref="H49:H50"/>
    <mergeCell ref="I49:I50"/>
    <mergeCell ref="D47:D48"/>
    <mergeCell ref="E47:E48"/>
    <mergeCell ref="H47:H48"/>
    <mergeCell ref="I47:I48"/>
    <mergeCell ref="D51:D52"/>
    <mergeCell ref="F47:F48"/>
    <mergeCell ref="F49:F50"/>
    <mergeCell ref="F51:F52"/>
    <mergeCell ref="F53:F54"/>
    <mergeCell ref="I51:I52"/>
    <mergeCell ref="J53:J54"/>
    <mergeCell ref="K53:K54"/>
    <mergeCell ref="L53:L54"/>
    <mergeCell ref="AF47:AF48"/>
    <mergeCell ref="N49:N50"/>
    <mergeCell ref="X49:X50"/>
    <mergeCell ref="AD49:AD50"/>
    <mergeCell ref="AE49:AE50"/>
    <mergeCell ref="AF49:AF50"/>
    <mergeCell ref="N47:N48"/>
    <mergeCell ref="X47:X48"/>
    <mergeCell ref="AD47:AD48"/>
    <mergeCell ref="AE47:AE48"/>
    <mergeCell ref="J47:J48"/>
    <mergeCell ref="J49:J50"/>
    <mergeCell ref="K47:K48"/>
    <mergeCell ref="L49:L50"/>
    <mergeCell ref="L47:L48"/>
    <mergeCell ref="M47:M48"/>
    <mergeCell ref="M53:M54"/>
    <mergeCell ref="J51:J52"/>
    <mergeCell ref="K51:K52"/>
    <mergeCell ref="L51:L52"/>
    <mergeCell ref="N53:N54"/>
    <mergeCell ref="X53:X54"/>
    <mergeCell ref="AD53:AD54"/>
    <mergeCell ref="AE53:AE54"/>
    <mergeCell ref="AF53:AF54"/>
    <mergeCell ref="N41:N42"/>
    <mergeCell ref="X41:X42"/>
    <mergeCell ref="Y37:Y38"/>
    <mergeCell ref="AD37:AD38"/>
    <mergeCell ref="AD43:AD44"/>
    <mergeCell ref="AE45:AE46"/>
    <mergeCell ref="AF45:AF46"/>
    <mergeCell ref="AE37:AE38"/>
    <mergeCell ref="AF37:AF38"/>
    <mergeCell ref="X51:X52"/>
    <mergeCell ref="AD51:AD52"/>
    <mergeCell ref="AE51:AE52"/>
    <mergeCell ref="AF51:AF52"/>
    <mergeCell ref="AD39:AD40"/>
    <mergeCell ref="AE39:AE40"/>
    <mergeCell ref="AF39:AF40"/>
    <mergeCell ref="AD41:AD42"/>
    <mergeCell ref="AE41:AE42"/>
    <mergeCell ref="AF41:AF42"/>
    <mergeCell ref="E35:E36"/>
    <mergeCell ref="H35:H36"/>
    <mergeCell ref="AE29:AE30"/>
    <mergeCell ref="AF29:AF30"/>
    <mergeCell ref="Y31:Y32"/>
    <mergeCell ref="AD31:AD32"/>
    <mergeCell ref="AE31:AE32"/>
    <mergeCell ref="AF31:AF32"/>
    <mergeCell ref="Y27:Y28"/>
    <mergeCell ref="AD27:AD28"/>
    <mergeCell ref="Y29:Y30"/>
    <mergeCell ref="AE27:AE28"/>
    <mergeCell ref="AF27:AF28"/>
    <mergeCell ref="AD29:AD30"/>
    <mergeCell ref="X27:X28"/>
    <mergeCell ref="M29:M30"/>
    <mergeCell ref="N29:N30"/>
    <mergeCell ref="X29:X30"/>
    <mergeCell ref="J33:J34"/>
    <mergeCell ref="L37:L38"/>
    <mergeCell ref="L27:L28"/>
    <mergeCell ref="M27:M28"/>
    <mergeCell ref="N27:N28"/>
    <mergeCell ref="J31:J32"/>
    <mergeCell ref="L31:L32"/>
    <mergeCell ref="M31:M32"/>
    <mergeCell ref="N31:N32"/>
    <mergeCell ref="L29:L30"/>
    <mergeCell ref="J35:J36"/>
    <mergeCell ref="X31:X32"/>
    <mergeCell ref="J27:J28"/>
    <mergeCell ref="J45:J46"/>
    <mergeCell ref="K45:K46"/>
    <mergeCell ref="L45:L46"/>
    <mergeCell ref="AE43:AE44"/>
    <mergeCell ref="AF43:AF44"/>
    <mergeCell ref="E45:E46"/>
    <mergeCell ref="H45:H46"/>
    <mergeCell ref="I45:I46"/>
    <mergeCell ref="N45:N46"/>
    <mergeCell ref="X45:X46"/>
    <mergeCell ref="AD45:AD46"/>
    <mergeCell ref="M45:M46"/>
    <mergeCell ref="X43:X44"/>
    <mergeCell ref="F43:F44"/>
    <mergeCell ref="M43:M44"/>
    <mergeCell ref="K43:K44"/>
    <mergeCell ref="N43:N44"/>
    <mergeCell ref="I43:I44"/>
    <mergeCell ref="AC2:AF4"/>
    <mergeCell ref="AC8:AC9"/>
    <mergeCell ref="L4:N4"/>
    <mergeCell ref="A2:Y2"/>
    <mergeCell ref="A4:D4"/>
    <mergeCell ref="W6:W7"/>
    <mergeCell ref="Y6:Y9"/>
    <mergeCell ref="A6:C9"/>
    <mergeCell ref="R4:W4"/>
    <mergeCell ref="Q6:V7"/>
    <mergeCell ref="M6:M9"/>
    <mergeCell ref="E6:E9"/>
    <mergeCell ref="H6:H9"/>
    <mergeCell ref="L6:L9"/>
    <mergeCell ref="E4:K4"/>
    <mergeCell ref="O4:Q4"/>
    <mergeCell ref="N6:N9"/>
    <mergeCell ref="I6:I9"/>
    <mergeCell ref="J6:J9"/>
    <mergeCell ref="K6:K9"/>
    <mergeCell ref="X4:Y4"/>
    <mergeCell ref="D6:D9"/>
    <mergeCell ref="F6:F9"/>
    <mergeCell ref="AF21:AF22"/>
    <mergeCell ref="L21:L22"/>
    <mergeCell ref="AD8:AD9"/>
    <mergeCell ref="AE8:AE9"/>
    <mergeCell ref="AF8:AF9"/>
    <mergeCell ref="Y15:Y16"/>
    <mergeCell ref="AD15:AD16"/>
    <mergeCell ref="X7:X8"/>
    <mergeCell ref="AD13:AD14"/>
    <mergeCell ref="AC6:AE7"/>
    <mergeCell ref="X15:X16"/>
    <mergeCell ref="AF15:AF16"/>
    <mergeCell ref="X13:X14"/>
    <mergeCell ref="AE11:AE12"/>
    <mergeCell ref="AE13:AE14"/>
    <mergeCell ref="AF13:AF14"/>
    <mergeCell ref="Y11:Y12"/>
    <mergeCell ref="X11:X12"/>
    <mergeCell ref="AD11:AD12"/>
    <mergeCell ref="AF11:AF12"/>
    <mergeCell ref="AF17:AF18"/>
    <mergeCell ref="F11:F12"/>
    <mergeCell ref="F13:F14"/>
    <mergeCell ref="F15:F16"/>
    <mergeCell ref="F17:F18"/>
    <mergeCell ref="F19:F20"/>
    <mergeCell ref="D15:D16"/>
    <mergeCell ref="E15:E16"/>
    <mergeCell ref="H15:H16"/>
    <mergeCell ref="I15:I16"/>
    <mergeCell ref="AE15:AE16"/>
    <mergeCell ref="X19:X20"/>
    <mergeCell ref="X17:X18"/>
    <mergeCell ref="AE19:AE20"/>
    <mergeCell ref="K19:K20"/>
    <mergeCell ref="K21:K22"/>
    <mergeCell ref="N19:N20"/>
    <mergeCell ref="H19:H20"/>
    <mergeCell ref="D19:D20"/>
    <mergeCell ref="I19:I20"/>
    <mergeCell ref="Y21:Y22"/>
    <mergeCell ref="AD19:AD20"/>
    <mergeCell ref="F21:F22"/>
    <mergeCell ref="D21:D22"/>
    <mergeCell ref="E21:E22"/>
    <mergeCell ref="AD17:AD18"/>
    <mergeCell ref="K17:K18"/>
    <mergeCell ref="AE25:AE26"/>
    <mergeCell ref="AF25:AF26"/>
    <mergeCell ref="L25:L26"/>
    <mergeCell ref="D25:D26"/>
    <mergeCell ref="E25:E26"/>
    <mergeCell ref="H25:H26"/>
    <mergeCell ref="AE23:AE24"/>
    <mergeCell ref="AD21:AD22"/>
    <mergeCell ref="M21:M22"/>
    <mergeCell ref="N21:N22"/>
    <mergeCell ref="X21:X22"/>
    <mergeCell ref="H21:H22"/>
    <mergeCell ref="I21:I22"/>
    <mergeCell ref="J21:J22"/>
    <mergeCell ref="AE21:AE22"/>
    <mergeCell ref="H17:H18"/>
    <mergeCell ref="D17:D18"/>
    <mergeCell ref="E19:E20"/>
    <mergeCell ref="E17:E18"/>
    <mergeCell ref="AF19:AF20"/>
    <mergeCell ref="D11:D12"/>
    <mergeCell ref="H11:H12"/>
    <mergeCell ref="I11:I12"/>
    <mergeCell ref="J11:J12"/>
    <mergeCell ref="E11:E12"/>
    <mergeCell ref="D13:D14"/>
    <mergeCell ref="E13:E14"/>
    <mergeCell ref="H13:H14"/>
    <mergeCell ref="N13:N14"/>
    <mergeCell ref="I39:I40"/>
    <mergeCell ref="N39:N40"/>
    <mergeCell ref="X39:X40"/>
    <mergeCell ref="K39:K40"/>
    <mergeCell ref="K35:K36"/>
    <mergeCell ref="M39:M40"/>
    <mergeCell ref="AF23:AF24"/>
    <mergeCell ref="D23:D24"/>
    <mergeCell ref="E23:E24"/>
    <mergeCell ref="H23:H24"/>
    <mergeCell ref="I23:I24"/>
    <mergeCell ref="J23:J24"/>
    <mergeCell ref="L23:L24"/>
    <mergeCell ref="M25:M26"/>
    <mergeCell ref="N25:N26"/>
    <mergeCell ref="X25:X26"/>
    <mergeCell ref="Y25:Y26"/>
    <mergeCell ref="AD25:AD26"/>
    <mergeCell ref="M23:M24"/>
    <mergeCell ref="N23:N24"/>
    <mergeCell ref="X23:X24"/>
    <mergeCell ref="Y23:Y24"/>
    <mergeCell ref="AD23:AD24"/>
    <mergeCell ref="E27:E28"/>
    <mergeCell ref="Y35:Y36"/>
    <mergeCell ref="X33:X34"/>
    <mergeCell ref="Y33:Y34"/>
    <mergeCell ref="AD33:AD34"/>
    <mergeCell ref="AE33:AE34"/>
    <mergeCell ref="AD35:AD36"/>
    <mergeCell ref="M35:M36"/>
    <mergeCell ref="N35:N36"/>
    <mergeCell ref="X35:X36"/>
    <mergeCell ref="X37:X38"/>
    <mergeCell ref="AF35:AF36"/>
    <mergeCell ref="AF33:AF34"/>
    <mergeCell ref="AE35:AE36"/>
    <mergeCell ref="F23:F24"/>
    <mergeCell ref="N51:N52"/>
    <mergeCell ref="K11:K12"/>
    <mergeCell ref="M11:M12"/>
    <mergeCell ref="L11:L12"/>
    <mergeCell ref="N11:N12"/>
    <mergeCell ref="K27:K28"/>
    <mergeCell ref="K29:K30"/>
    <mergeCell ref="K31:K32"/>
    <mergeCell ref="K33:K34"/>
    <mergeCell ref="K49:K50"/>
    <mergeCell ref="M13:M14"/>
    <mergeCell ref="M19:M20"/>
    <mergeCell ref="H27:H28"/>
    <mergeCell ref="I27:I28"/>
    <mergeCell ref="M49:M50"/>
    <mergeCell ref="M51:M52"/>
    <mergeCell ref="F25:F26"/>
    <mergeCell ref="L33:L34"/>
    <mergeCell ref="M33:M34"/>
    <mergeCell ref="F27:F28"/>
    <mergeCell ref="F29:F30"/>
    <mergeCell ref="F31:F32"/>
    <mergeCell ref="F33:F34"/>
    <mergeCell ref="F35:F36"/>
    <mergeCell ref="I37:I38"/>
    <mergeCell ref="O6:P9"/>
    <mergeCell ref="M37:M38"/>
    <mergeCell ref="N37:N38"/>
    <mergeCell ref="N33:N34"/>
    <mergeCell ref="J37:J38"/>
    <mergeCell ref="M15:M16"/>
    <mergeCell ref="N15:N16"/>
    <mergeCell ref="J15:J16"/>
    <mergeCell ref="L15:L16"/>
    <mergeCell ref="H31:H32"/>
    <mergeCell ref="I31:I32"/>
    <mergeCell ref="H33:H34"/>
    <mergeCell ref="I33:I34"/>
    <mergeCell ref="I25:I26"/>
  </mergeCells>
  <phoneticPr fontId="34" type="noConversion"/>
  <conditionalFormatting sqref="P11:W11">
    <cfRule type="cellIs" dxfId="37" priority="8" operator="equal">
      <formula>0</formula>
    </cfRule>
    <cfRule type="cellIs" dxfId="36" priority="7" operator="greaterThan">
      <formula>0</formula>
    </cfRule>
  </conditionalFormatting>
  <conditionalFormatting sqref="P12:W12 P16:W16 P18:W18 P20:W20 P22:W22 P24:W24 P26:W26 P28:W28 P30:W30 P32:W32 P34:W34 P36:W36 P38:W38 P40:W40 P42 P44:W44 P46:W46 P48:W48 P50:W50 P52:W52 P54:W54">
    <cfRule type="containsBlanks" priority="4" stopIfTrue="1">
      <formula>LEN(TRIM(P12))=0</formula>
    </cfRule>
    <cfRule type="cellIs" dxfId="35" priority="5" operator="lessThan">
      <formula>$Q$13</formula>
    </cfRule>
    <cfRule type="cellIs" dxfId="34" priority="6" operator="greaterThanOrEqual">
      <formula>$Q$13</formula>
    </cfRule>
    <cfRule type="cellIs" priority="3" stopIfTrue="1" operator="equal">
      <formula>0</formula>
    </cfRule>
  </conditionalFormatting>
  <conditionalFormatting sqref="P13:W13 P15:W15 P17:W17 P19:W19 P21:W21 P23:W23 P25:W25 P27:W27 P29:W29 P31:W31 P33:W33 P35:W35 P37:W37 P39:W39 P41:V41 P43:W43 P45:W45 P47:W47 P49:W49 P51:W51 P53:W53">
    <cfRule type="cellIs" dxfId="33" priority="44" operator="equal">
      <formula>0</formula>
    </cfRule>
  </conditionalFormatting>
  <conditionalFormatting sqref="P13:W13 P15:W15 P17:W17 P19:W19 P21:W21 P23:W23 P25:W25 P27:W27 P29:W29 P31:W31 P33:W33 P35:W35 P37:W37 P39:W39 P41:W41 P43:W43 P45:W45 P47:W47 P49:W49 P51:W51 P53:W53">
    <cfRule type="cellIs" dxfId="32" priority="43" operator="greaterThan">
      <formula>0</formula>
    </cfRule>
  </conditionalFormatting>
  <conditionalFormatting sqref="P14:W14">
    <cfRule type="cellIs" priority="39" stopIfTrue="1" operator="equal">
      <formula>0</formula>
    </cfRule>
    <cfRule type="containsBlanks" priority="40" stopIfTrue="1">
      <formula>LEN(TRIM(P14))=0</formula>
    </cfRule>
    <cfRule type="cellIs" dxfId="31" priority="41" operator="lessThan">
      <formula>$Q$13</formula>
    </cfRule>
    <cfRule type="cellIs" dxfId="30" priority="42" operator="greaterThanOrEqual">
      <formula>$Q$13</formula>
    </cfRule>
  </conditionalFormatting>
  <conditionalFormatting sqref="Q41:V42">
    <cfRule type="cellIs" dxfId="29" priority="294" operator="greaterThan">
      <formula>0</formula>
    </cfRule>
  </conditionalFormatting>
  <conditionalFormatting sqref="Q42:V42">
    <cfRule type="containsBlanks" dxfId="28" priority="291" stopIfTrue="1">
      <formula>LEN(TRIM(Q42))=0</formula>
    </cfRule>
    <cfRule type="cellIs" dxfId="27" priority="293" operator="between">
      <formula>0.00001</formula>
      <formula>Q41</formula>
    </cfRule>
  </conditionalFormatting>
  <conditionalFormatting sqref="Q42:W42">
    <cfRule type="cellIs" dxfId="26" priority="292" operator="greaterThanOrEqual">
      <formula>Q41</formula>
    </cfRule>
    <cfRule type="cellIs" dxfId="25" priority="295" operator="equal">
      <formula>0</formula>
    </cfRule>
  </conditionalFormatting>
  <conditionalFormatting sqref="S21:U21">
    <cfRule type="cellIs" dxfId="24" priority="149" operator="greaterThan">
      <formula>0</formula>
    </cfRule>
  </conditionalFormatting>
  <conditionalFormatting sqref="S29:U29">
    <cfRule type="cellIs" dxfId="23" priority="124" operator="greaterThan">
      <formula>0</formula>
    </cfRule>
  </conditionalFormatting>
  <conditionalFormatting sqref="S39:U39">
    <cfRule type="cellIs" dxfId="22" priority="93" operator="greaterThan">
      <formula>0</formula>
    </cfRule>
  </conditionalFormatting>
  <conditionalFormatting sqref="S43:U43">
    <cfRule type="cellIs" dxfId="21" priority="86" operator="greaterThan">
      <formula>0</formula>
    </cfRule>
  </conditionalFormatting>
  <conditionalFormatting sqref="S45:U45">
    <cfRule type="cellIs" dxfId="20" priority="79" operator="greaterThan">
      <formula>0</formula>
    </cfRule>
  </conditionalFormatting>
  <conditionalFormatting sqref="S47:U47">
    <cfRule type="cellIs" dxfId="19" priority="72" operator="greaterThan">
      <formula>0</formula>
    </cfRule>
  </conditionalFormatting>
  <conditionalFormatting sqref="S49:U49">
    <cfRule type="cellIs" dxfId="18" priority="65" operator="greaterThan">
      <formula>0</formula>
    </cfRule>
  </conditionalFormatting>
  <conditionalFormatting sqref="S51:U51">
    <cfRule type="cellIs" dxfId="17" priority="58" operator="greaterThan">
      <formula>0</formula>
    </cfRule>
  </conditionalFormatting>
  <conditionalFormatting sqref="S53:U53">
    <cfRule type="cellIs" dxfId="16" priority="51" operator="greaterThan">
      <formula>0</formula>
    </cfRule>
  </conditionalFormatting>
  <conditionalFormatting sqref="W41:W42 S13:U13 S15:U15 S17:U17 S19:U19 S23:U23 S25:U25 S27:U27 S31:U31 S33:U33 S35:U35 S37:U37">
    <cfRule type="cellIs" dxfId="15" priority="2067" operator="greaterThan">
      <formula>0</formula>
    </cfRule>
  </conditionalFormatting>
  <conditionalFormatting sqref="W41:W42">
    <cfRule type="cellIs" dxfId="14" priority="186" operator="equal">
      <formula>0</formula>
    </cfRule>
    <cfRule type="cellIs" dxfId="13" priority="2068" operator="equal">
      <formula>0</formula>
    </cfRule>
  </conditionalFormatting>
  <conditionalFormatting sqref="W42">
    <cfRule type="cellIs" dxfId="12" priority="219" operator="greaterThan">
      <formula>0</formula>
    </cfRule>
    <cfRule type="cellIs" dxfId="11" priority="2049" operator="greaterThan">
      <formula>0</formula>
    </cfRule>
    <cfRule type="cellIs" dxfId="10" priority="2064" operator="between">
      <formula>0.00001</formula>
      <formula>W41</formula>
    </cfRule>
  </conditionalFormatting>
  <conditionalFormatting sqref="X1 X11:X54">
    <cfRule type="containsBlanks" dxfId="9" priority="4391">
      <formula>LEN(TRIM(X1))=0</formula>
    </cfRule>
  </conditionalFormatting>
  <conditionalFormatting sqref="X7:X8">
    <cfRule type="containsBlanks" dxfId="8" priority="2625">
      <formula>LEN(TRIM(X7))=0</formula>
    </cfRule>
    <cfRule type="cellIs" dxfId="7" priority="2626" operator="greaterThanOrEqual">
      <formula>1</formula>
    </cfRule>
    <cfRule type="cellIs" dxfId="6" priority="2627" operator="lessThan">
      <formula>0.85</formula>
    </cfRule>
    <cfRule type="cellIs" dxfId="5" priority="2628" operator="between">
      <formula>0.85</formula>
      <formula>0.99999999999</formula>
    </cfRule>
    <cfRule type="iconSet" priority="2629">
      <iconSet>
        <cfvo type="percent" val="0"/>
        <cfvo type="num" val="0.85"/>
        <cfvo type="num" val="1"/>
      </iconSet>
    </cfRule>
  </conditionalFormatting>
  <conditionalFormatting sqref="X11:X54">
    <cfRule type="cellIs" dxfId="4" priority="9138" operator="greaterThanOrEqual">
      <formula>1</formula>
    </cfRule>
    <cfRule type="cellIs" dxfId="3" priority="9139" operator="lessThan">
      <formula>0.85</formula>
    </cfRule>
    <cfRule type="cellIs" dxfId="2" priority="9140" operator="between">
      <formula>0.85</formula>
      <formula>0.99999999999</formula>
    </cfRule>
    <cfRule type="iconSet" priority="9141">
      <iconSet>
        <cfvo type="percent" val="0"/>
        <cfvo type="num" val="0.85"/>
        <cfvo type="num" val="1"/>
      </iconSet>
    </cfRule>
  </conditionalFormatting>
  <conditionalFormatting sqref="AD11 AD13 AD15:AD17 AD19:AD54">
    <cfRule type="cellIs" dxfId="1" priority="1874" operator="equal">
      <formula>"N"</formula>
    </cfRule>
    <cfRule type="cellIs" dxfId="0" priority="1875" operator="equal">
      <formula>"S"</formula>
    </cfRule>
  </conditionalFormatting>
  <dataValidations count="1">
    <dataValidation type="list" allowBlank="1" showInputMessage="1" showErrorMessage="1" sqref="AF6" xr:uid="{A78E969C-3282-428D-987E-F7D57FEE0324}">
      <formula1>$AG$10:$AI$10</formula1>
    </dataValidation>
  </dataValidations>
  <printOptions horizontalCentered="1" verticalCentered="1"/>
  <pageMargins left="0.25" right="0.25" top="0.75" bottom="0.75" header="0.3" footer="0.3"/>
  <pageSetup paperSize="9" scale="26" fitToHeight="0" orientation="landscape" cellComments="asDisplayed"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D89847BB-FDD1-44CE-A0F0-5327AC0395FE}">
          <x14:formula1>
            <xm:f>#REF!</xm:f>
          </x14:formula1>
          <xm:sqref>AE11:AE54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4">
    <tabColor rgb="FF00B0F0"/>
  </sheetPr>
  <dimension ref="A1:D33"/>
  <sheetViews>
    <sheetView view="pageBreakPreview" zoomScaleNormal="100" zoomScaleSheetLayoutView="100" workbookViewId="0">
      <selection activeCell="D6" sqref="D6"/>
    </sheetView>
  </sheetViews>
  <sheetFormatPr defaultRowHeight="14.4" x14ac:dyDescent="0.3"/>
  <cols>
    <col min="1" max="1" width="3.5546875" customWidth="1"/>
    <col min="2" max="2" width="30.109375" bestFit="1" customWidth="1"/>
    <col min="3" max="3" width="3.5546875" customWidth="1"/>
    <col min="4" max="4" width="48.88671875" bestFit="1" customWidth="1"/>
  </cols>
  <sheetData>
    <row r="1" spans="1:4" x14ac:dyDescent="0.3">
      <c r="A1" s="157" t="s">
        <v>71</v>
      </c>
      <c r="B1" s="158"/>
      <c r="C1" s="157" t="s">
        <v>72</v>
      </c>
      <c r="D1" s="158"/>
    </row>
    <row r="2" spans="1:4" x14ac:dyDescent="0.3">
      <c r="A2" s="159">
        <v>1</v>
      </c>
      <c r="B2" s="159" t="s">
        <v>73</v>
      </c>
      <c r="C2" s="6" t="s">
        <v>44</v>
      </c>
      <c r="D2" s="7" t="s">
        <v>74</v>
      </c>
    </row>
    <row r="3" spans="1:4" x14ac:dyDescent="0.3">
      <c r="A3" s="160"/>
      <c r="B3" s="160"/>
      <c r="C3" s="6" t="s">
        <v>49</v>
      </c>
      <c r="D3" s="7" t="s">
        <v>75</v>
      </c>
    </row>
    <row r="4" spans="1:4" x14ac:dyDescent="0.3">
      <c r="A4" s="160"/>
      <c r="B4" s="160"/>
      <c r="C4" s="6" t="s">
        <v>50</v>
      </c>
      <c r="D4" s="7" t="s">
        <v>76</v>
      </c>
    </row>
    <row r="5" spans="1:4" x14ac:dyDescent="0.3">
      <c r="A5" s="161"/>
      <c r="B5" s="161"/>
      <c r="C5" s="6" t="s">
        <v>52</v>
      </c>
      <c r="D5" s="7" t="s">
        <v>77</v>
      </c>
    </row>
    <row r="6" spans="1:4" x14ac:dyDescent="0.3">
      <c r="A6" s="159">
        <v>2</v>
      </c>
      <c r="B6" s="159" t="s">
        <v>78</v>
      </c>
      <c r="C6" s="6" t="s">
        <v>79</v>
      </c>
      <c r="D6" s="7" t="s">
        <v>80</v>
      </c>
    </row>
    <row r="7" spans="1:4" x14ac:dyDescent="0.3">
      <c r="A7" s="160"/>
      <c r="B7" s="160"/>
      <c r="C7" s="6" t="s">
        <v>81</v>
      </c>
      <c r="D7" s="7" t="s">
        <v>82</v>
      </c>
    </row>
    <row r="8" spans="1:4" x14ac:dyDescent="0.3">
      <c r="A8" s="160"/>
      <c r="B8" s="160"/>
      <c r="C8" s="6" t="s">
        <v>83</v>
      </c>
      <c r="D8" s="7" t="s">
        <v>84</v>
      </c>
    </row>
    <row r="9" spans="1:4" x14ac:dyDescent="0.3">
      <c r="A9" s="160"/>
      <c r="B9" s="160"/>
      <c r="C9" s="6" t="s">
        <v>85</v>
      </c>
      <c r="D9" s="7" t="s">
        <v>86</v>
      </c>
    </row>
    <row r="10" spans="1:4" x14ac:dyDescent="0.3">
      <c r="A10" s="160"/>
      <c r="B10" s="160"/>
      <c r="C10" s="6" t="s">
        <v>87</v>
      </c>
      <c r="D10" s="7" t="s">
        <v>88</v>
      </c>
    </row>
    <row r="11" spans="1:4" x14ac:dyDescent="0.3">
      <c r="A11" s="160"/>
      <c r="B11" s="160"/>
      <c r="C11" s="6" t="s">
        <v>89</v>
      </c>
      <c r="D11" s="7" t="s">
        <v>90</v>
      </c>
    </row>
    <row r="12" spans="1:4" x14ac:dyDescent="0.3">
      <c r="A12" s="161"/>
      <c r="B12" s="161"/>
      <c r="C12" s="6" t="s">
        <v>91</v>
      </c>
      <c r="D12" s="7" t="s">
        <v>92</v>
      </c>
    </row>
    <row r="13" spans="1:4" x14ac:dyDescent="0.3">
      <c r="A13" s="8">
        <v>3</v>
      </c>
      <c r="B13" s="8" t="s">
        <v>93</v>
      </c>
      <c r="C13" s="6" t="s">
        <v>94</v>
      </c>
      <c r="D13" s="7" t="s">
        <v>95</v>
      </c>
    </row>
    <row r="14" spans="1:4" x14ac:dyDescent="0.3">
      <c r="A14" s="159">
        <v>4</v>
      </c>
      <c r="B14" s="159" t="s">
        <v>96</v>
      </c>
      <c r="C14" s="6" t="s">
        <v>97</v>
      </c>
      <c r="D14" s="7" t="s">
        <v>98</v>
      </c>
    </row>
    <row r="15" spans="1:4" x14ac:dyDescent="0.3">
      <c r="A15" s="160"/>
      <c r="B15" s="160"/>
      <c r="C15" s="6" t="s">
        <v>99</v>
      </c>
      <c r="D15" s="7" t="s">
        <v>100</v>
      </c>
    </row>
    <row r="16" spans="1:4" x14ac:dyDescent="0.3">
      <c r="A16" s="161"/>
      <c r="B16" s="161"/>
      <c r="C16" s="6" t="s">
        <v>101</v>
      </c>
      <c r="D16" s="7" t="s">
        <v>102</v>
      </c>
    </row>
    <row r="17" spans="1:4" x14ac:dyDescent="0.3">
      <c r="A17" s="159">
        <v>5</v>
      </c>
      <c r="B17" s="159" t="s">
        <v>103</v>
      </c>
      <c r="C17" s="6" t="s">
        <v>104</v>
      </c>
      <c r="D17" s="7" t="s">
        <v>105</v>
      </c>
    </row>
    <row r="18" spans="1:4" x14ac:dyDescent="0.3">
      <c r="A18" s="160"/>
      <c r="B18" s="160"/>
      <c r="C18" s="6" t="s">
        <v>106</v>
      </c>
      <c r="D18" s="7" t="s">
        <v>107</v>
      </c>
    </row>
    <row r="19" spans="1:4" x14ac:dyDescent="0.3">
      <c r="A19" s="160"/>
      <c r="B19" s="160"/>
      <c r="C19" s="6" t="s">
        <v>108</v>
      </c>
      <c r="D19" s="7" t="s">
        <v>109</v>
      </c>
    </row>
    <row r="20" spans="1:4" x14ac:dyDescent="0.3">
      <c r="A20" s="160"/>
      <c r="B20" s="160"/>
      <c r="C20" s="6" t="s">
        <v>110</v>
      </c>
      <c r="D20" s="7" t="s">
        <v>111</v>
      </c>
    </row>
    <row r="21" spans="1:4" x14ac:dyDescent="0.3">
      <c r="A21" s="160"/>
      <c r="B21" s="160"/>
      <c r="C21" s="6" t="s">
        <v>112</v>
      </c>
      <c r="D21" s="7" t="s">
        <v>113</v>
      </c>
    </row>
    <row r="22" spans="1:4" x14ac:dyDescent="0.3">
      <c r="A22" s="161"/>
      <c r="B22" s="161"/>
      <c r="C22" s="6" t="s">
        <v>114</v>
      </c>
      <c r="D22" s="7" t="s">
        <v>115</v>
      </c>
    </row>
    <row r="23" spans="1:4" x14ac:dyDescent="0.3">
      <c r="A23" s="159">
        <v>6</v>
      </c>
      <c r="B23" s="159" t="s">
        <v>116</v>
      </c>
      <c r="C23" s="6" t="s">
        <v>117</v>
      </c>
      <c r="D23" s="7" t="s">
        <v>118</v>
      </c>
    </row>
    <row r="24" spans="1:4" x14ac:dyDescent="0.3">
      <c r="A24" s="160"/>
      <c r="B24" s="160"/>
      <c r="C24" s="6" t="s">
        <v>119</v>
      </c>
      <c r="D24" s="7" t="s">
        <v>120</v>
      </c>
    </row>
    <row r="25" spans="1:4" x14ac:dyDescent="0.3">
      <c r="A25" s="160"/>
      <c r="B25" s="160"/>
      <c r="C25" s="6" t="s">
        <v>121</v>
      </c>
      <c r="D25" s="7" t="s">
        <v>122</v>
      </c>
    </row>
    <row r="26" spans="1:4" x14ac:dyDescent="0.3">
      <c r="A26" s="160"/>
      <c r="B26" s="160"/>
      <c r="C26" s="6" t="s">
        <v>123</v>
      </c>
      <c r="D26" s="7" t="s">
        <v>124</v>
      </c>
    </row>
    <row r="27" spans="1:4" x14ac:dyDescent="0.3">
      <c r="A27" s="161"/>
      <c r="B27" s="161"/>
      <c r="C27" s="6" t="s">
        <v>125</v>
      </c>
      <c r="D27" s="7" t="s">
        <v>126</v>
      </c>
    </row>
    <row r="28" spans="1:4" x14ac:dyDescent="0.3">
      <c r="A28" s="159">
        <v>7</v>
      </c>
      <c r="B28" s="159" t="s">
        <v>127</v>
      </c>
      <c r="C28" s="6" t="s">
        <v>128</v>
      </c>
      <c r="D28" s="7" t="s">
        <v>129</v>
      </c>
    </row>
    <row r="29" spans="1:4" x14ac:dyDescent="0.3">
      <c r="A29" s="160"/>
      <c r="B29" s="160"/>
      <c r="C29" s="6" t="s">
        <v>130</v>
      </c>
      <c r="D29" s="7" t="s">
        <v>131</v>
      </c>
    </row>
    <row r="30" spans="1:4" x14ac:dyDescent="0.3">
      <c r="A30" s="160"/>
      <c r="B30" s="160"/>
      <c r="C30" s="6" t="s">
        <v>132</v>
      </c>
      <c r="D30" s="7" t="s">
        <v>133</v>
      </c>
    </row>
    <row r="31" spans="1:4" x14ac:dyDescent="0.3">
      <c r="A31" s="161"/>
      <c r="B31" s="161"/>
      <c r="C31" s="6" t="s">
        <v>134</v>
      </c>
      <c r="D31" s="7" t="s">
        <v>135</v>
      </c>
    </row>
    <row r="32" spans="1:4" x14ac:dyDescent="0.3">
      <c r="A32" s="6">
        <v>8</v>
      </c>
      <c r="B32" s="6" t="s">
        <v>136</v>
      </c>
      <c r="C32" s="6" t="s">
        <v>137</v>
      </c>
      <c r="D32" s="7" t="s">
        <v>138</v>
      </c>
    </row>
    <row r="33" spans="1:4" x14ac:dyDescent="0.3">
      <c r="A33" s="6">
        <v>9</v>
      </c>
      <c r="B33" s="6" t="s">
        <v>139</v>
      </c>
      <c r="C33" s="6" t="s">
        <v>140</v>
      </c>
      <c r="D33" s="7" t="s">
        <v>141</v>
      </c>
    </row>
  </sheetData>
  <mergeCells count="14">
    <mergeCell ref="A28:A31"/>
    <mergeCell ref="B28:B31"/>
    <mergeCell ref="A14:A16"/>
    <mergeCell ref="B14:B16"/>
    <mergeCell ref="A17:A22"/>
    <mergeCell ref="B17:B22"/>
    <mergeCell ref="A23:A27"/>
    <mergeCell ref="B23:B27"/>
    <mergeCell ref="A1:B1"/>
    <mergeCell ref="C1:D1"/>
    <mergeCell ref="A2:A5"/>
    <mergeCell ref="B2:B5"/>
    <mergeCell ref="A6:A12"/>
    <mergeCell ref="B6:B12"/>
  </mergeCells>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123a933-3812-4ad3-9417-8c4d0dd503be" xsi:nil="true"/>
    <lcf76f155ced4ddcb4097134ff3c332f xmlns="5dd524c1-0eb5-414e-a171-4f14de224716">
      <Terms xmlns="http://schemas.microsoft.com/office/infopath/2007/PartnerControls"/>
    </lcf76f155ced4ddcb4097134ff3c332f>
    <Classifica_x00e7__x00e3_oInforma_x00e7__x00e3_o xmlns="5dd524c1-0eb5-414e-a171-4f14de224716">Pública</Classifica_x00e7__x00e3_oInforma_x00e7__x00e3_o>
    <TipodoDocumento xmlns="5dd524c1-0eb5-414e-a171-4f14de224716" xsi:nil="true"/>
    <_Flow_SignoffStatus xmlns="5dd524c1-0eb5-414e-a171-4f14de224716" xsi:nil="true"/>
    <DatadoArquivo xmlns="5dd524c1-0eb5-414e-a171-4f14de224716" xsi:nil="true"/>
    <Revis_x00e3_o xmlns="5dd524c1-0eb5-414e-a171-4f14de224716" xsi:nil="true"/>
    <C_x00f3_digodoDocumento xmlns="5dd524c1-0eb5-414e-a171-4f14de224716" xsi:nil="true"/>
    <Respons_x00e1_vel xmlns="5dd524c1-0eb5-414e-a171-4f14de224716">
      <UserInfo>
        <DisplayName/>
        <AccountId xsi:nil="true"/>
        <AccountType/>
      </UserInfo>
    </Respons_x00e1_vel>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2F9139CC659B141A7606B32C8890F98" ma:contentTypeVersion="23" ma:contentTypeDescription="Crie um novo documento." ma:contentTypeScope="" ma:versionID="5b27ece08230f316674d072a08916430">
  <xsd:schema xmlns:xsd="http://www.w3.org/2001/XMLSchema" xmlns:xs="http://www.w3.org/2001/XMLSchema" xmlns:p="http://schemas.microsoft.com/office/2006/metadata/properties" xmlns:ns2="5dd524c1-0eb5-414e-a171-4f14de224716" xmlns:ns3="e123a933-3812-4ad3-9417-8c4d0dd503be" targetNamespace="http://schemas.microsoft.com/office/2006/metadata/properties" ma:root="true" ma:fieldsID="9c22cd12d9abc24206098ce84802d2c2" ns2:_="" ns3:_="">
    <xsd:import namespace="5dd524c1-0eb5-414e-a171-4f14de224716"/>
    <xsd:import namespace="e123a933-3812-4ad3-9417-8c4d0dd503be"/>
    <xsd:element name="properties">
      <xsd:complexType>
        <xsd:sequence>
          <xsd:element name="documentManagement">
            <xsd:complexType>
              <xsd:all>
                <xsd:element ref="ns2:TipodoDocumento" minOccurs="0"/>
                <xsd:element ref="ns2:Classifica_x00e7__x00e3_oInforma_x00e7__x00e3_o"/>
                <xsd:element ref="ns2:_Flow_SignoffStatus" minOccurs="0"/>
                <xsd:element ref="ns2:MediaServiceMetadata" minOccurs="0"/>
                <xsd:element ref="ns2:MediaServiceFastMetadata" minOccurs="0"/>
                <xsd:element ref="ns3:SharedWithUsers" minOccurs="0"/>
                <xsd:element ref="ns3:SharedWithDetails" minOccurs="0"/>
                <xsd:element ref="ns2:MediaLengthInSecond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element ref="ns2:DatadoArquivo" minOccurs="0"/>
                <xsd:element ref="ns2:Respons_x00e1_vel" minOccurs="0"/>
                <xsd:element ref="ns2:Revis_x00e3_o" minOccurs="0"/>
                <xsd:element ref="ns2:C_x00f3_digodoDocumen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d524c1-0eb5-414e-a171-4f14de224716" elementFormDefault="qualified">
    <xsd:import namespace="http://schemas.microsoft.com/office/2006/documentManagement/types"/>
    <xsd:import namespace="http://schemas.microsoft.com/office/infopath/2007/PartnerControls"/>
    <xsd:element name="TipodoDocumento" ma:index="2" nillable="true" ma:displayName="Tipo do Documento" ma:format="Dropdown" ma:internalName="TipodoDocumento" ma:readOnly="false">
      <xsd:simpleType>
        <xsd:restriction base="dms:Text">
          <xsd:maxLength value="255"/>
        </xsd:restriction>
      </xsd:simpleType>
    </xsd:element>
    <xsd:element name="Classifica_x00e7__x00e3_oInforma_x00e7__x00e3_o" ma:index="3" ma:displayName="Classificação Informação" ma:description="Confidencial&#10;É o nível mais alto de segurança dentro deste padrão. As informações confidenciais são aquelas que, se divulgadas interna ou externamente, têm potencial para trazer grandes prejuízos financeiros ou à imagem da empresa. São protegidas, por exemplo, por criptografia.&#10;&#10;Restrita&#10;É o nível médio de confidencialidade. São informações estratégicas que devem estar disponíveis apenas para grupos restritos de colaboradores. Podem ser protegidas, por exemplo, restringindo o acesso à uma pasta ou diretório da rede.&#10;&#10;Uso interno&#10;Representa baixo nível de confidencialidade. Informações de uso interno são aquelas que não podem ser divulgadas para pessoas de fora da organização, mas que, caso isso aconteça, não causarão grandes prejuízos. A preocupação nesse nível está relacionada principalmente à integridade da informação.&#10;&#10;Pública&#10;São dados que não necessitam de proteção sofisticada contra vazamentos, pois podem ser de conhecimento público. No entanto, sempre cabe lembrar dos outros dois pilares: a disponibilidade e a integridade." ma:format="Dropdown" ma:internalName="Classifica_x00e7__x00e3_oInforma_x00e7__x00e3_o" ma:readOnly="false">
      <xsd:simpleType>
        <xsd:restriction base="dms:Choice">
          <xsd:enumeration value="Confidencial"/>
          <xsd:enumeration value="Restrita"/>
          <xsd:enumeration value="Interna"/>
          <xsd:enumeration value="Pública"/>
        </xsd:restriction>
      </xsd:simpleType>
    </xsd:element>
    <xsd:element name="_Flow_SignoffStatus" ma:index="5" nillable="true" ma:displayName="Status de liberação" ma:internalName="Status_x0020_de_x0020_libera_x00e7__x00e3_o" ma:readOnly="false">
      <xsd:simpleType>
        <xsd:restriction base="dms:Text"/>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hidden="true" ma:internalName="MediaServiceAutoTags" ma:readOnly="true">
      <xsd:simpleType>
        <xsd:restriction base="dms:Text"/>
      </xsd:simpleType>
    </xsd:element>
    <xsd:element name="MediaServiceOCR" ma:index="15" nillable="true" ma:displayName="Extracted Text" ma:hidden="true" ma:internalName="MediaServiceOCR"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e201f610-fd22-46d6-9aa9-19573a56381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DatadoArquivo" ma:index="26" nillable="true" ma:displayName="Data da Solicitação" ma:format="DateTime" ma:internalName="DatadoArquivo">
      <xsd:simpleType>
        <xsd:restriction base="dms:DateTime"/>
      </xsd:simpleType>
    </xsd:element>
    <xsd:element name="Respons_x00e1_vel" ma:index="27" nillable="true" ma:displayName="Responsável" ma:format="Dropdown" ma:list="UserInfo" ma:SharePointGroup="0" ma:internalName="Respons_x00e1_vel">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s_x00e3_o" ma:index="28" nillable="true" ma:displayName="Revisão" ma:format="Dropdown" ma:internalName="Revis_x00e3_o" ma:percentage="FALSE">
      <xsd:simpleType>
        <xsd:restriction base="dms:Number"/>
      </xsd:simpleType>
    </xsd:element>
    <xsd:element name="C_x00f3_digodoDocumento" ma:index="29" nillable="true" ma:displayName="Código do Documento " ma:format="Dropdown" ma:internalName="C_x00f3_digodoDocument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123a933-3812-4ad3-9417-8c4d0dd503be" elementFormDefault="qualified">
    <xsd:import namespace="http://schemas.microsoft.com/office/2006/documentManagement/types"/>
    <xsd:import namespace="http://schemas.microsoft.com/office/infopath/2007/PartnerControls"/>
    <xsd:element name="SharedWithUsers" ma:index="10" nillable="true" ma:displayName="Compartilhado com"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hidden="true" ma:internalName="SharedWithDetails" ma:readOnly="true">
      <xsd:simpleType>
        <xsd:restriction base="dms:Note"/>
      </xsd:simpleType>
    </xsd:element>
    <xsd:element name="TaxCatchAll" ma:index="22" nillable="true" ma:displayName="Taxonomy Catch All Column" ma:hidden="true" ma:list="{b1879013-cd61-4011-9555-3d91a8267b52}" ma:internalName="TaxCatchAll" ma:readOnly="false" ma:showField="CatchAllData" ma:web="e123a933-3812-4ad3-9417-8c4d0dd503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Tipo de Conteú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BC8F53-76FF-40A0-9A0D-F00D55C9CD82}">
  <ds:schemaRefs>
    <ds:schemaRef ds:uri="http://schemas.microsoft.com/sharepoint/v3/contenttype/forms"/>
  </ds:schemaRefs>
</ds:datastoreItem>
</file>

<file path=customXml/itemProps2.xml><?xml version="1.0" encoding="utf-8"?>
<ds:datastoreItem xmlns:ds="http://schemas.openxmlformats.org/officeDocument/2006/customXml" ds:itemID="{9C83B883-041C-47B1-BA4C-F4ACB8205974}">
  <ds:schemaRefs>
    <ds:schemaRef ds:uri="http://schemas.microsoft.com/office/2006/metadata/properties"/>
    <ds:schemaRef ds:uri="http://schemas.microsoft.com/office/infopath/2007/PartnerControls"/>
    <ds:schemaRef ds:uri="e123a933-3812-4ad3-9417-8c4d0dd503be"/>
    <ds:schemaRef ds:uri="5dd524c1-0eb5-414e-a171-4f14de224716"/>
  </ds:schemaRefs>
</ds:datastoreItem>
</file>

<file path=customXml/itemProps3.xml><?xml version="1.0" encoding="utf-8"?>
<ds:datastoreItem xmlns:ds="http://schemas.openxmlformats.org/officeDocument/2006/customXml" ds:itemID="{F61CEBE5-CA89-489B-99E0-EA457F3624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d524c1-0eb5-414e-a171-4f14de224716"/>
    <ds:schemaRef ds:uri="e123a933-3812-4ad3-9417-8c4d0dd503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2</vt:i4>
      </vt:variant>
    </vt:vector>
  </HeadingPairs>
  <TitlesOfParts>
    <vt:vector size="5" baseType="lpstr">
      <vt:lpstr>Calendário</vt:lpstr>
      <vt:lpstr>Programação Semanal</vt:lpstr>
      <vt:lpstr>Cód. Áreas</vt:lpstr>
      <vt:lpstr>'Programação Semanal'!Area_de_impressao</vt:lpstr>
      <vt:lpstr>'Programação Semanal'!Titulos_de_impressao</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Willis</dc:creator>
  <cp:keywords/>
  <dc:description/>
  <cp:lastModifiedBy>Michel Zabalia</cp:lastModifiedBy>
  <cp:revision/>
  <dcterms:created xsi:type="dcterms:W3CDTF">2008-11-17T18:17:45Z</dcterms:created>
  <dcterms:modified xsi:type="dcterms:W3CDTF">2026-08-11T13:01:34Z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2021-06-01T21:22:15Z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77e58c3c-db7c-4442-813c-1b1b7cde696a</vt:lpwstr>
  </property>
  <property fmtid="{D5CDD505-2E9C-101B-9397-08002B2CF9AE}" pid="8" name="MSIP_Label_ea60d57e-af5b-4752-ac57-3e4f28ca11dc_ContentBits">
    <vt:lpwstr>0</vt:lpwstr>
  </property>
  <property fmtid="{D5CDD505-2E9C-101B-9397-08002B2CF9AE}" pid="9" name="ContentTypeId">
    <vt:lpwstr>0x01010012F9139CC659B141A7606B32C8890F98</vt:lpwstr>
  </property>
  <property fmtid="{D5CDD505-2E9C-101B-9397-08002B2CF9AE}" pid="10" name="MediaServiceImageTags">
    <vt:lpwstr/>
  </property>
</Properties>
</file>