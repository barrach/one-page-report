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autoCompressPictures="0" defaultThemeVersion="124226"/>
  <mc:AlternateContent xmlns:mc="http://schemas.openxmlformats.org/markup-compatibility/2006">
    <mc:Choice Requires="x15">
      <x15ac:absPath xmlns:x15ac="http://schemas.microsoft.com/office/spreadsheetml/2010/11/ac" url="C:\Users\MichelZabalia\one-page-report\"/>
    </mc:Choice>
  </mc:AlternateContent>
  <xr:revisionPtr revIDLastSave="0" documentId="8_{251E03D0-8843-4F9E-8401-1B6887F426B7}" xr6:coauthVersionLast="47" xr6:coauthVersionMax="47" xr10:uidLastSave="{00000000-0000-0000-0000-000000000000}"/>
  <bookViews>
    <workbookView xWindow="-108" yWindow="-108" windowWidth="23256" windowHeight="12456" tabRatio="626" firstSheet="1" activeTab="1" xr2:uid="{00000000-000D-0000-FFFF-FFFF00000000}"/>
  </bookViews>
  <sheets>
    <sheet name="Calendário" sheetId="33" state="hidden" r:id="rId1"/>
    <sheet name="PPC CONSOLIDADO" sheetId="81" r:id="rId2"/>
    <sheet name="Cód. Áreas" sheetId="34" state="hidden"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123Graph_A" hidden="1">[1]FC!$J$109:$U$109</definedName>
    <definedName name="__123Graph_X" hidden="1">[1]FC!$J$5:$U$5</definedName>
    <definedName name="_1__123Graph_ACHART_1" hidden="1">[2]DADOS!$K$13:$K$26</definedName>
    <definedName name="_10__123Graph_ACHART_18" hidden="1">'[2]Produt JUL'!$B$12:$B$13</definedName>
    <definedName name="_100__123Graph_FCHART_17" hidden="1">'[2]Produt JUN'!$D$12:$D$44</definedName>
    <definedName name="_101__123Graph_FCHART_18" hidden="1">'[2]Produt JUL'!$D$12:$D$44</definedName>
    <definedName name="_102__123Graph_FCHART_19" hidden="1">'[2]Produt AGO'!$D$12:$D$44</definedName>
    <definedName name="_103__123Graph_FCHART_20" hidden="1">'[2]Produt SET'!$D$12:$D$44</definedName>
    <definedName name="_104__123Graph_FCHART_21" hidden="1">'[2]Produt OUT'!$D$12:$D$44</definedName>
    <definedName name="_105__123Graph_FCHART_22" hidden="1">'[2]Produt NOV'!$D$12:$D$44</definedName>
    <definedName name="_106__123Graph_FCHART_23" hidden="1">'[2]Produt DEZ'!$D$12:$D$44</definedName>
    <definedName name="_107__123Graph_FCHART_9" hidden="1">[2]DADOS!$E$13:$E$26</definedName>
    <definedName name="_108__123Graph_LBL_ACHART_2" hidden="1">[3]PARETOS!$M$4:$M$10</definedName>
    <definedName name="_109__123Graph_LBL_ACHART_3" hidden="1">[3]PARETOS!$N$29:$N$36</definedName>
    <definedName name="_11__123Graph_ACHART_19" hidden="1">'[2]Produt AGO'!$B$12:$B$13</definedName>
    <definedName name="_110__123Graph_LBL_ACHART_7" hidden="1">'[3]PROP ELAB GANH'!$P$47:$P$55</definedName>
    <definedName name="_111__123Graph_LBL_ACHART_8" hidden="1">'[3]PROP ELAB GANH'!$P$70:$P$78</definedName>
    <definedName name="_112__123Graph_LBL_ACHART_9" hidden="1">[2]DADOS!$T$13:$T$14</definedName>
    <definedName name="_113__123Graph_LBL_BCHART_10" hidden="1">'[2]Produt JAN'!$AJ$12:$AJ$44</definedName>
    <definedName name="_114__123Graph_LBL_BCHART_13" hidden="1">'[2]Produt FEV'!$AJ$12:$AJ$44</definedName>
    <definedName name="_115__123Graph_LBL_BCHART_14" hidden="1">'[2]Produt MAR'!$AJ$12:$AJ$44</definedName>
    <definedName name="_116__123Graph_LBL_BCHART_15" hidden="1">'[2]Produt ABR'!$AJ$12:$AJ$44</definedName>
    <definedName name="_117__123Graph_LBL_BCHART_16" hidden="1">'[2]Produt MAI'!$AJ$12:$AJ$44</definedName>
    <definedName name="_118__123Graph_LBL_BCHART_17" hidden="1">'[2]Produt JUN'!$AJ$12:$AJ$44</definedName>
    <definedName name="_119__123Graph_LBL_BCHART_18" hidden="1">'[2]Produt JUL'!$AJ$12:$AJ$44</definedName>
    <definedName name="_12__123Graph_ACHART_2" hidden="1">[2]DADOS!$J$28:$L$28</definedName>
    <definedName name="_120__123Graph_LBL_BCHART_19" hidden="1">'[2]Produt AGO'!$AJ$12:$AJ$44</definedName>
    <definedName name="_121__123Graph_LBL_BCHART_2" hidden="1">[3]PARETOS!$N$4:$N$10</definedName>
    <definedName name="_122__123Graph_LBL_BCHART_20" hidden="1">'[2]Produt SET'!$AJ$12:$AJ$44</definedName>
    <definedName name="_123__123Graph_LBL_BCHART_21" hidden="1">'[2]Produt OUT'!$AJ$12:$AJ$44</definedName>
    <definedName name="_124__123Graph_LBL_BCHART_22" hidden="1">'[2]Produt NOV'!$AJ$12:$AJ$44</definedName>
    <definedName name="_125__123Graph_LBL_BCHART_23" hidden="1">'[2]Produt DEZ'!$AJ$12:$AJ$44</definedName>
    <definedName name="_126__123Graph_LBL_BCHART_3" hidden="1">[3]PARETOS!$O$28:$O$35</definedName>
    <definedName name="_127__123Graph_LBL_DCHART_10" hidden="1">'[2]Produt JAN'!$AK$12:$AK$44</definedName>
    <definedName name="_128__123Graph_LBL_DCHART_13" hidden="1">'[2]Produt FEV'!$AK$12:$AK$44</definedName>
    <definedName name="_129__123Graph_LBL_DCHART_14" hidden="1">'[2]Produt MAR'!$AK$12:$AK$44</definedName>
    <definedName name="_13__123Graph_ACHART_20" hidden="1">'[2]Produt SET'!$B$12:$B$13</definedName>
    <definedName name="_130__123Graph_LBL_DCHART_15" hidden="1">'[2]Produt ABR'!$AK$12:$AK$44</definedName>
    <definedName name="_131__123Graph_LBL_DCHART_16" hidden="1">'[2]Produt MAI'!$AK$12:$AK$44</definedName>
    <definedName name="_132__123Graph_LBL_DCHART_17" hidden="1">'[2]Produt JUN'!$AK$12:$AK$44</definedName>
    <definedName name="_133__123Graph_LBL_DCHART_18" hidden="1">'[2]Produt JUL'!$AK$12:$AK$44</definedName>
    <definedName name="_134__123Graph_LBL_DCHART_19" hidden="1">'[2]Produt AGO'!$AK$12:$AK$44</definedName>
    <definedName name="_135__123Graph_LBL_DCHART_20" hidden="1">'[2]Produt SET'!$AK$12:$AK$44</definedName>
    <definedName name="_136__123Graph_LBL_DCHART_21" hidden="1">'[2]Produt OUT'!$AK$12:$AK$44</definedName>
    <definedName name="_137__123Graph_LBL_DCHART_22" hidden="1">'[2]Produt NOV'!$AK$12:$AK$44</definedName>
    <definedName name="_138__123Graph_LBL_DCHART_23" hidden="1">'[2]Produt DEZ'!$AK$12:$AK$44</definedName>
    <definedName name="_139__123Graph_XCHART_1" hidden="1">[2]DADOS!$A$13:$A$26</definedName>
    <definedName name="_14__123Graph_ACHART_21" hidden="1">'[2]Produt OUT'!$B$12:$B$13</definedName>
    <definedName name="_140__123Graph_XCHART_3" hidden="1">[3]PARETOS!$M$29:$M$36</definedName>
    <definedName name="_141__123Graph_XCHART_6" hidden="1">[2]DADOS!$A$15:$A$26</definedName>
    <definedName name="_142__123Graph_XCHART_8" hidden="1">'[3]PROP ELAB GANH'!$L$70:$L$78</definedName>
    <definedName name="_143__123Graph_XCHART_9" hidden="1">[2]DADOS!$A$13:$A$26</definedName>
    <definedName name="_15__123Graph_ACHART_22" hidden="1">'[2]Produt NOV'!$B$12:$B$13</definedName>
    <definedName name="_16__123Graph_ACHART_23" hidden="1">'[2]Produt DEZ'!$B$12:$B$13</definedName>
    <definedName name="_17__123Graph_ACHART_25" hidden="1">'[2]Produt FEV'!$J$48:$L$48</definedName>
    <definedName name="_18__123Graph_ACHART_27" hidden="1">'[2]Produt MAR'!$J$48:$L$48</definedName>
    <definedName name="_19__123Graph_ACHART_29" hidden="1">'[2]Produt ABR'!$J$48:$L$48</definedName>
    <definedName name="_2__123Graph_ACHART_10" hidden="1">'[2]Produt JAN'!$B$12:$B$13</definedName>
    <definedName name="_20__123Graph_ACHART_3" hidden="1">[2]DADOS!$J$30:$L$30</definedName>
    <definedName name="_21__123Graph_ACHART_31" hidden="1">'[2]Produt MAI'!$J$48:$L$48</definedName>
    <definedName name="_22__123Graph_ACHART_33" hidden="1">'[2]Produt JUN'!$J$48:$L$48</definedName>
    <definedName name="_23__123Graph_ACHART_35" hidden="1">'[2]Produt JUL'!$J$48:$L$48</definedName>
    <definedName name="_24__123Graph_ACHART_37" hidden="1">'[2]Produt AGO'!$J$48:$L$48</definedName>
    <definedName name="_25__123Graph_ACHART_39" hidden="1">'[2]Produt SET'!$J$48:$L$48</definedName>
    <definedName name="_26__123Graph_ACHART_4" hidden="1">[2]DADOS!$O$28:$Q$28</definedName>
    <definedName name="_27__123Graph_ACHART_41" hidden="1">'[2]Produt OUT'!$J$48:$L$48</definedName>
    <definedName name="_28__123Graph_ACHART_43" hidden="1">'[2]Produt NOV'!$J$48:$L$48</definedName>
    <definedName name="_29__123Graph_ACHART_45" hidden="1">'[2]Produt DEZ'!$J$48:$L$48</definedName>
    <definedName name="_3__123Graph_ACHART_11" hidden="1">'[2]Produt JAN'!$J$46:$L$46</definedName>
    <definedName name="_30__123Graph_ACHART_5" hidden="1">[2]DADOS!$O$30:$Q$30</definedName>
    <definedName name="_31__123Graph_ACHART_6" hidden="1">[2]DADOS!$G$15:$G$26</definedName>
    <definedName name="_32__123Graph_ACHART_7" hidden="1">[2]DADOS!$S$28:$U$28</definedName>
    <definedName name="_33__123Graph_ACHART_8" hidden="1">[2]DADOS!$S$30:$U$30</definedName>
    <definedName name="_34__123Graph_ACHART_9" hidden="1">[2]DADOS!$T$13:$T$26</definedName>
    <definedName name="_35__123Graph_BCHART_1" hidden="1">[2]DADOS!$J$13:$J$26</definedName>
    <definedName name="_36__123Graph_BCHART_10" hidden="1">'[2]Produt JAN'!$AE$12:$AE$44</definedName>
    <definedName name="_37__123Graph_BCHART_13" hidden="1">'[2]Produt FEV'!$AE$12:$AE$44</definedName>
    <definedName name="_38__123Graph_BCHART_14" hidden="1">'[2]Produt MAR'!$AE$12:$AE$44</definedName>
    <definedName name="_39__123Graph_BCHART_15" hidden="1">'[2]Produt ABR'!$AE$12:$AE$44</definedName>
    <definedName name="_4__123Graph_ACHART_12" hidden="1">'[2]Produt JAN'!$J$48:$L$48</definedName>
    <definedName name="_40__123Graph_BCHART_16" hidden="1">'[2]Produt MAI'!$AE$12:$AE$44</definedName>
    <definedName name="_41__123Graph_BCHART_17" hidden="1">'[2]Produt JUN'!$AE$12:$AE$44</definedName>
    <definedName name="_42__123Graph_BCHART_18" hidden="1">'[2]Produt JUL'!$AE$12:$AE$44</definedName>
    <definedName name="_43__123Graph_BCHART_19" hidden="1">'[2]Produt AGO'!$AE$12:$AE$44</definedName>
    <definedName name="_44__123Graph_BCHART_2" hidden="1">[3]PARETOS!$N$4:$N$10</definedName>
    <definedName name="_45__123Graph_BCHART_20" hidden="1">'[2]Produt SET'!$AE$12:$AE$44</definedName>
    <definedName name="_46__123Graph_BCHART_21" hidden="1">'[2]Produt OUT'!$AE$12:$AE$44</definedName>
    <definedName name="_47__123Graph_BCHART_22" hidden="1">'[2]Produt NOV'!$AE$12:$AE$44</definedName>
    <definedName name="_48__123Graph_BCHART_23" hidden="1">'[2]Produt DEZ'!$AE$12:$AE$44</definedName>
    <definedName name="_49__123Graph_BCHART_3" hidden="1">[3]PARETOS!$O$28:$O$35</definedName>
    <definedName name="_5__123Graph_ACHART_13" hidden="1">'[2]Produt FEV'!$B$12:$B$13</definedName>
    <definedName name="_50__123Graph_BCHART_6" hidden="1">[2]DADOS!$O$15:$O$26</definedName>
    <definedName name="_51__123Graph_BCHART_9" hidden="1">[2]DADOS!$U$13:$U$26</definedName>
    <definedName name="_52__123Graph_CCHART_1" hidden="1">[2]DADOS!$L$13:$L$26</definedName>
    <definedName name="_53__123Graph_CCHART_10" hidden="1">'[2]Produt JAN'!$AF$12:$AF$44</definedName>
    <definedName name="_54__123Graph_CCHART_13" hidden="1">'[2]Produt FEV'!$AF$12:$AF$44</definedName>
    <definedName name="_55__123Graph_CCHART_14" hidden="1">'[2]Produt MAR'!$AF$12:$AF$44</definedName>
    <definedName name="_56__123Graph_CCHART_15" hidden="1">'[2]Produt ABR'!$AF$12:$AF$44</definedName>
    <definedName name="_57__123Graph_CCHART_16" hidden="1">'[2]Produt MAI'!$AF$12:$AF$44</definedName>
    <definedName name="_58__123Graph_CCHART_17" hidden="1">'[2]Produt JUN'!$AF$12:$AF$44</definedName>
    <definedName name="_59__123Graph_CCHART_18" hidden="1">'[2]Produt JUL'!$AF$12:$AF$44</definedName>
    <definedName name="_6__123Graph_ACHART_14" hidden="1">'[2]Produt MAR'!$B$12:$B$13</definedName>
    <definedName name="_60__123Graph_CCHART_19" hidden="1">'[2]Produt AGO'!$AF$12:$AF$44</definedName>
    <definedName name="_61__123Graph_CCHART_20" hidden="1">'[2]Produt SET'!$AF$12:$AF$44</definedName>
    <definedName name="_62__123Graph_CCHART_21" hidden="1">'[2]Produt OUT'!$AF$12:$AF$44</definedName>
    <definedName name="_63__123Graph_CCHART_22" hidden="1">'[2]Produt NOV'!$AF$12:$AF$44</definedName>
    <definedName name="_64__123Graph_CCHART_23" hidden="1">'[2]Produt DEZ'!$AF$12:$AF$44</definedName>
    <definedName name="_65__123Graph_CCHART_6" hidden="1">[2]DADOS!$P$15:$P$26</definedName>
    <definedName name="_66__123Graph_CCHART_9" hidden="1">[2]DADOS!$S$13:$S$26</definedName>
    <definedName name="_67__123Graph_DCHART_1" hidden="1">[2]DADOS!$M$13:$M$26</definedName>
    <definedName name="_68__123Graph_DCHART_10" hidden="1">'[2]Produt JAN'!$AG$12:$AG$44</definedName>
    <definedName name="_69__123Graph_DCHART_13" hidden="1">'[2]Produt FEV'!$AG$12:$AG$44</definedName>
    <definedName name="_7__123Graph_ACHART_15" hidden="1">'[2]Produt ABR'!$B$12:$B$13</definedName>
    <definedName name="_70__123Graph_DCHART_14" hidden="1">'[2]Produt MAR'!$AG$12:$AG$44</definedName>
    <definedName name="_71__123Graph_DCHART_15" hidden="1">'[2]Produt ABR'!$AG$12:$AG$44</definedName>
    <definedName name="_72__123Graph_DCHART_16" hidden="1">'[2]Produt MAI'!$AG$12:$AG$44</definedName>
    <definedName name="_73__123Graph_DCHART_17" hidden="1">'[2]Produt JUN'!$AG$12:$AG$44</definedName>
    <definedName name="_74__123Graph_DCHART_18" hidden="1">'[2]Produt JUL'!$AG$12:$AG$44</definedName>
    <definedName name="_75__123Graph_DCHART_19" hidden="1">'[2]Produt AGO'!$AG$12:$AG$44</definedName>
    <definedName name="_76__123Graph_DCHART_20" hidden="1">'[2]Produt SET'!$AG$12:$AG$44</definedName>
    <definedName name="_77__123Graph_DCHART_21" hidden="1">'[2]Produt OUT'!$AG$12:$AG$44</definedName>
    <definedName name="_78__123Graph_DCHART_22" hidden="1">'[2]Produt NOV'!$AG$12:$AG$44</definedName>
    <definedName name="_79__123Graph_DCHART_23" hidden="1">'[2]Produt DEZ'!$AG$12:$AG$44</definedName>
    <definedName name="_8__123Graph_ACHART_16" hidden="1">'[2]Produt MAI'!$B$12:$B$13</definedName>
    <definedName name="_80__123Graph_DCHART_6" hidden="1">[2]DADOS!$Q$15:$Q$26</definedName>
    <definedName name="_81__123Graph_DCHART_9" hidden="1">[2]DADOS!$V$13:$V$26</definedName>
    <definedName name="_82__123Graph_ECHART_10" hidden="1">'[2]Produt JAN'!$AH$12:$AH$44</definedName>
    <definedName name="_83__123Graph_ECHART_13" hidden="1">'[2]Produt FEV'!$AH$12:$AH$44</definedName>
    <definedName name="_84__123Graph_ECHART_14" hidden="1">'[2]Produt MAR'!$AH$12:$AH$44</definedName>
    <definedName name="_85__123Graph_ECHART_15" hidden="1">'[2]Produt ABR'!$AH$12:$AH$44</definedName>
    <definedName name="_86__123Graph_ECHART_16" hidden="1">'[2]Produt MAI'!$AH$12:$AH$44</definedName>
    <definedName name="_87__123Graph_ECHART_17" hidden="1">'[2]Produt JUN'!$AH$12:$AH$44</definedName>
    <definedName name="_88__123Graph_ECHART_18" hidden="1">'[2]Produt JUL'!$AH$12:$AH$44</definedName>
    <definedName name="_89__123Graph_ECHART_19" hidden="1">'[2]Produt AGO'!$AH$12:$AH$44</definedName>
    <definedName name="_9__123Graph_ACHART_17" hidden="1">'[2]Produt JUN'!$B$12:$B$13</definedName>
    <definedName name="_90__123Graph_ECHART_20" hidden="1">'[2]Produt SET'!$AH$12:$AH$44</definedName>
    <definedName name="_91__123Graph_ECHART_21" hidden="1">'[2]Produt OUT'!$AH$12:$AH$44</definedName>
    <definedName name="_92__123Graph_ECHART_22" hidden="1">'[2]Produt NOV'!$AH$12:$AH$44</definedName>
    <definedName name="_93__123Graph_ECHART_23" hidden="1">'[2]Produt DEZ'!$AH$12:$AH$44</definedName>
    <definedName name="_94__123Graph_ECHART_9" hidden="1">[2]DADOS!$W$13:$W$26</definedName>
    <definedName name="_95__123Graph_FCHART_10" hidden="1">'[2]Produt JAN'!$D$12:$D$44</definedName>
    <definedName name="_96__123Graph_FCHART_13" hidden="1">'[2]Produt FEV'!$D$12:$D$44</definedName>
    <definedName name="_97__123Graph_FCHART_14" hidden="1">'[2]Produt MAR'!$D$12:$D$44</definedName>
    <definedName name="_98__123Graph_FCHART_15" hidden="1">'[2]Produt ABR'!$D$12:$D$44</definedName>
    <definedName name="_99__123Graph_FCHART_16" hidden="1">'[2]Produt MAI'!$D$12:$D$44</definedName>
    <definedName name="_Fill" hidden="1">[4]CIV!#REF!</definedName>
    <definedName name="_xlnm._FilterDatabase" localSheetId="1" hidden="1">'PPC CONSOLIDADO'!#REF!</definedName>
    <definedName name="_Key1" hidden="1">'[3]DESEMP AN'!$C$37:$C$77</definedName>
    <definedName name="_Key2" hidden="1">'[3]DESEMP AN'!$B$37:$B$65</definedName>
    <definedName name="_Order1" hidden="1">0</definedName>
    <definedName name="_Order2" hidden="1">255</definedName>
    <definedName name="_Sort" hidden="1">'[3]DESEMP AN'!$B$37:$H$86</definedName>
    <definedName name="_xlnm.Print_Area" localSheetId="1">'PPC CONSOLIDADO'!$B$2:$F$15</definedName>
    <definedName name="Causa">[5]Armaz.Dados!$I$1:$J$28</definedName>
    <definedName name="CC">#REF!</definedName>
    <definedName name="Comp_Auxil">'[6]Composição Auxiliares'!$A$2:$L$475</definedName>
    <definedName name="COMPOSIÇÃO">[6]COMPOSIÇÕES!$B$2:$M$3932</definedName>
    <definedName name="encarregado">#REF!</definedName>
    <definedName name="EQUIPAMENTO">[6]EQUIPAMENTO!$B$3:$L$44</definedName>
    <definedName name="FILL" hidden="1">#REF!</definedName>
    <definedName name="função">#REF!</definedName>
    <definedName name="FUNCIONARIO">'[7]Folha de pagamento'!$B$2:$B$3128</definedName>
    <definedName name="INSUMP">'[6]Resumo Insumos não val'!$A$116:$J$31616</definedName>
    <definedName name="KEY" hidden="1">#REF!</definedName>
    <definedName name="LOCAIS">[8]CADASTRO!$A$13:$A$58</definedName>
    <definedName name="MATERIAL">[6]MATERIAL!$B$3:$I$75</definedName>
    <definedName name="MO">[6]MO!$B$4:$F$29</definedName>
    <definedName name="MVP_05">'[6]MVP-05'!$C$11:$H$501</definedName>
    <definedName name="NUMER_COMPOSIÇÃO">[6]COMPOSIÇÕES!$A$13:$M$3932</definedName>
    <definedName name="Panilha_Resumo">'[6]PLANILHA RESUMO'!$C$3:$I$270</definedName>
    <definedName name="ppp" hidden="1">#REF!</definedName>
    <definedName name="REGISTRO">#REF!</definedName>
    <definedName name="SEMANA">#REF!</definedName>
    <definedName name="TUNEL_0">[8]CADASTRO!$B$372:$B$377+[8]CADASTRO!$C$372:$C$377</definedName>
    <definedName name="TURNO">[8]CADASTRO!$A$3:$A$8</definedName>
    <definedName name="UP_15">[8]CADASTRO!#REF!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81" l="1"/>
  <c r="F6" i="81" l="1"/>
  <c r="F5" i="81"/>
  <c r="D11" i="81" s="1"/>
  <c r="G10" i="81"/>
  <c r="H10" i="81"/>
  <c r="I10" i="81"/>
  <c r="J10" i="81"/>
  <c r="K10" i="81"/>
  <c r="L10" i="81"/>
  <c r="M10" i="81"/>
  <c r="N10" i="81"/>
  <c r="O10" i="81"/>
  <c r="P10" i="81"/>
  <c r="Q10" i="81"/>
  <c r="R10" i="81"/>
  <c r="S10" i="81"/>
  <c r="T10" i="81"/>
  <c r="U10" i="81"/>
  <c r="V10" i="81"/>
  <c r="W10" i="81"/>
  <c r="X10" i="81"/>
  <c r="Y10" i="81"/>
  <c r="Z10" i="81"/>
  <c r="AA10" i="81"/>
  <c r="AB10" i="81"/>
  <c r="AC10" i="81"/>
  <c r="AD10" i="81"/>
  <c r="AE10" i="81"/>
  <c r="AF10" i="81"/>
  <c r="AG10" i="81"/>
  <c r="G11" i="81"/>
  <c r="H11" i="81"/>
  <c r="I11" i="81"/>
  <c r="J11" i="81"/>
  <c r="K11" i="81"/>
  <c r="L11" i="81"/>
  <c r="M11" i="81"/>
  <c r="N11" i="81"/>
  <c r="O11" i="81"/>
  <c r="P11" i="81"/>
  <c r="Q11" i="81"/>
  <c r="R11" i="81"/>
  <c r="S11" i="81"/>
  <c r="T11" i="81"/>
  <c r="U11" i="81"/>
  <c r="V11" i="81"/>
  <c r="W11" i="81"/>
  <c r="X11" i="81"/>
  <c r="Y11" i="81"/>
  <c r="Z11" i="81"/>
  <c r="AA11" i="81"/>
  <c r="AB11" i="81"/>
  <c r="AC11" i="81"/>
  <c r="AD11" i="81"/>
  <c r="AE11" i="81"/>
  <c r="AF11" i="81"/>
  <c r="AG11" i="81"/>
  <c r="G13" i="81"/>
  <c r="H13" i="81"/>
  <c r="I13" i="81"/>
  <c r="J13" i="81"/>
  <c r="K13" i="81"/>
  <c r="L13" i="81"/>
  <c r="M13" i="81"/>
  <c r="N13" i="81"/>
  <c r="O13" i="81"/>
  <c r="P13" i="81"/>
  <c r="Q13" i="81"/>
  <c r="R13" i="81"/>
  <c r="S13" i="81"/>
  <c r="T13" i="81"/>
  <c r="U13" i="81"/>
  <c r="V13" i="81"/>
  <c r="W13" i="81"/>
  <c r="X13" i="81"/>
  <c r="Y13" i="81"/>
  <c r="Z13" i="81"/>
  <c r="AA13" i="81"/>
  <c r="AB13" i="81"/>
  <c r="AC13" i="81"/>
  <c r="AD13" i="81"/>
  <c r="AE13" i="81"/>
  <c r="AF13" i="81"/>
  <c r="AG13" i="81"/>
  <c r="G8" i="81"/>
  <c r="H8" i="81"/>
  <c r="I8" i="81"/>
  <c r="J8" i="81"/>
  <c r="K8" i="81"/>
  <c r="L8" i="81"/>
  <c r="M8" i="81"/>
  <c r="N8" i="81"/>
  <c r="O8" i="81"/>
  <c r="P8" i="81"/>
  <c r="Q8" i="81"/>
  <c r="R8" i="81"/>
  <c r="S8" i="81"/>
  <c r="T8" i="81"/>
  <c r="U8" i="81"/>
  <c r="V8" i="81"/>
  <c r="W8" i="81"/>
  <c r="X8" i="81"/>
  <c r="Y8" i="81"/>
  <c r="Z8" i="81"/>
  <c r="AA8" i="81"/>
  <c r="AB8" i="81"/>
  <c r="AC8" i="81"/>
  <c r="AD8" i="81"/>
  <c r="AE8" i="81"/>
  <c r="AF8" i="81"/>
  <c r="AG8" i="81"/>
  <c r="G15" i="81"/>
  <c r="H15" i="81"/>
  <c r="I15" i="81"/>
  <c r="J15" i="81"/>
  <c r="K15" i="81"/>
  <c r="L15" i="81"/>
  <c r="M15" i="81"/>
  <c r="N15" i="81"/>
  <c r="O15" i="81"/>
  <c r="P15" i="81"/>
  <c r="Q15" i="81"/>
  <c r="R15" i="81"/>
  <c r="S15" i="81"/>
  <c r="T15" i="81"/>
  <c r="U15" i="81"/>
  <c r="V15" i="81"/>
  <c r="W15" i="81"/>
  <c r="X15" i="81"/>
  <c r="Y15" i="81"/>
  <c r="Z15" i="81"/>
  <c r="AA15" i="81"/>
  <c r="AB15" i="81"/>
  <c r="AC15" i="81"/>
  <c r="AD15" i="81"/>
  <c r="AE15" i="81"/>
  <c r="AF15" i="81"/>
  <c r="AG15" i="81"/>
  <c r="AH15" i="81"/>
  <c r="AI15" i="81"/>
  <c r="AJ15" i="81"/>
  <c r="AK15" i="81"/>
  <c r="AL15" i="81"/>
  <c r="AM15" i="81"/>
  <c r="AN15" i="81"/>
  <c r="AO15" i="81"/>
  <c r="AP15" i="81"/>
  <c r="AQ15" i="81"/>
  <c r="AR15" i="81"/>
  <c r="AS15" i="81"/>
  <c r="AT15" i="81"/>
  <c r="AU15" i="81"/>
  <c r="AV15" i="81"/>
  <c r="AW15" i="81"/>
  <c r="AX15" i="81"/>
  <c r="AY15" i="81"/>
  <c r="AZ15" i="81"/>
  <c r="BA15" i="81"/>
  <c r="BB15" i="81"/>
  <c r="BC15" i="81"/>
  <c r="BD15" i="81"/>
  <c r="BE15" i="81"/>
  <c r="BF15" i="81"/>
  <c r="D15" i="81" l="1"/>
  <c r="D9" i="81"/>
  <c r="D8" i="81"/>
  <c r="D12" i="81"/>
  <c r="E14" i="81"/>
  <c r="E9" i="81"/>
  <c r="D14" i="81"/>
  <c r="D13" i="81"/>
  <c r="E12" i="81"/>
  <c r="D10" i="81"/>
  <c r="G6" i="81" l="1"/>
  <c r="H6" i="81"/>
  <c r="I6" i="81"/>
  <c r="J6" i="81"/>
  <c r="K6" i="81"/>
  <c r="L6" i="81"/>
  <c r="M6" i="81"/>
  <c r="N6" i="81"/>
  <c r="O6" i="81"/>
  <c r="P6" i="81"/>
  <c r="Q6" i="81"/>
  <c r="R6" i="81"/>
  <c r="S6" i="81"/>
  <c r="T6" i="81"/>
  <c r="U6" i="81"/>
  <c r="V6" i="81"/>
  <c r="W6" i="81"/>
  <c r="X6" i="81"/>
  <c r="Y6" i="81"/>
  <c r="Z6" i="81"/>
  <c r="AA6" i="81"/>
  <c r="AB6" i="81"/>
  <c r="AC6" i="81"/>
  <c r="AD6" i="81"/>
  <c r="AE6" i="81"/>
  <c r="AF6" i="81"/>
  <c r="AG6" i="81"/>
  <c r="E7" i="81" l="1"/>
  <c r="D7" i="81"/>
  <c r="D6" i="81"/>
  <c r="C7" i="33" l="1"/>
  <c r="D8" i="33" l="1"/>
  <c r="D9" i="33" s="1"/>
  <c r="D10" i="33" s="1"/>
  <c r="D11" i="33" s="1"/>
  <c r="D12" i="33" s="1"/>
  <c r="D13" i="33" s="1"/>
  <c r="D14" i="33" s="1"/>
  <c r="D15" i="33" s="1"/>
  <c r="D16" i="33" s="1"/>
  <c r="D17" i="33" s="1"/>
  <c r="D18" i="33" s="1"/>
  <c r="D19" i="33" s="1"/>
  <c r="D20" i="33" s="1"/>
  <c r="D21" i="33" s="1"/>
  <c r="D22" i="33" s="1"/>
  <c r="D23" i="33" s="1"/>
  <c r="D24" i="33" s="1"/>
  <c r="D25" i="33" s="1"/>
  <c r="D26" i="33" s="1"/>
  <c r="D27" i="33" s="1"/>
  <c r="D28" i="33" s="1"/>
  <c r="D29" i="33" s="1"/>
  <c r="D30" i="33" s="1"/>
  <c r="D31" i="33" s="1"/>
  <c r="D32" i="33" s="1"/>
  <c r="D33" i="33" s="1"/>
  <c r="D34" i="33" s="1"/>
  <c r="D35" i="33" s="1"/>
  <c r="D36" i="33" s="1"/>
  <c r="D37" i="33" s="1"/>
  <c r="D38" i="33" s="1"/>
  <c r="D39" i="33" s="1"/>
  <c r="D40" i="33" s="1"/>
  <c r="D41" i="33" s="1"/>
  <c r="D42" i="33" s="1"/>
  <c r="D43" i="33" s="1"/>
  <c r="D44" i="33" s="1"/>
  <c r="D45" i="33" s="1"/>
  <c r="D46" i="33" s="1"/>
  <c r="D47" i="33" s="1"/>
  <c r="D48" i="33" s="1"/>
  <c r="D49" i="33" s="1"/>
  <c r="D50" i="33" s="1"/>
  <c r="D51" i="33" s="1"/>
  <c r="D52" i="33" s="1"/>
  <c r="D53" i="33" s="1"/>
  <c r="D54" i="33" s="1"/>
  <c r="D55" i="33" s="1"/>
  <c r="D56" i="33" s="1"/>
  <c r="D57" i="33" s="1"/>
  <c r="D58" i="33" s="1"/>
  <c r="D59" i="33" s="1"/>
  <c r="D60" i="33" s="1"/>
  <c r="D61" i="33" s="1"/>
  <c r="D62" i="33" s="1"/>
  <c r="D63" i="33" s="1"/>
  <c r="D64" i="33" s="1"/>
  <c r="D65" i="33" s="1"/>
  <c r="D66" i="33" s="1"/>
  <c r="D67" i="33" s="1"/>
  <c r="D68" i="33" s="1"/>
  <c r="D69" i="33" s="1"/>
  <c r="D70" i="33" s="1"/>
  <c r="D71" i="33" s="1"/>
  <c r="D72" i="33" s="1"/>
  <c r="D73" i="33" s="1"/>
  <c r="D74" i="33" s="1"/>
  <c r="D75" i="33" s="1"/>
  <c r="D76" i="33" s="1"/>
  <c r="D77" i="33" s="1"/>
  <c r="D78" i="33" s="1"/>
  <c r="D79" i="33" s="1"/>
  <c r="D80" i="33" s="1"/>
  <c r="D81" i="33" s="1"/>
  <c r="D82" i="33" s="1"/>
  <c r="D83" i="33" s="1"/>
  <c r="D84" i="33" s="1"/>
  <c r="D85" i="33" s="1"/>
  <c r="D86" i="33" s="1"/>
  <c r="D87" i="33" s="1"/>
  <c r="D88" i="33" s="1"/>
  <c r="D89" i="33" s="1"/>
  <c r="D90" i="33" s="1"/>
  <c r="D91" i="33" s="1"/>
  <c r="D92" i="33" s="1"/>
  <c r="D93" i="33" s="1"/>
  <c r="D94" i="33" s="1"/>
  <c r="D95" i="33" s="1"/>
  <c r="D96" i="33" s="1"/>
  <c r="D97" i="33" s="1"/>
  <c r="D98" i="33" s="1"/>
  <c r="D99" i="33" s="1"/>
  <c r="D100" i="33" s="1"/>
  <c r="D101" i="33" s="1"/>
  <c r="D102" i="33" s="1"/>
  <c r="D103" i="33" s="1"/>
  <c r="D104" i="33" s="1"/>
  <c r="D105" i="33" s="1"/>
  <c r="D106" i="33" s="1"/>
  <c r="D107" i="33" s="1"/>
  <c r="D108" i="33" s="1"/>
  <c r="D109" i="33" s="1"/>
  <c r="D110" i="33" s="1"/>
  <c r="D111" i="33" s="1"/>
  <c r="D112" i="33" s="1"/>
  <c r="D113" i="33" s="1"/>
  <c r="D114" i="33" s="1"/>
  <c r="D115" i="33" s="1"/>
  <c r="D116" i="33" s="1"/>
  <c r="D117" i="33" s="1"/>
  <c r="D118" i="33" s="1"/>
  <c r="D119" i="33" s="1"/>
  <c r="D120" i="33" s="1"/>
  <c r="D121" i="33" s="1"/>
  <c r="D122" i="33" s="1"/>
  <c r="D123" i="33" s="1"/>
  <c r="D124" i="33" s="1"/>
  <c r="D125" i="33" s="1"/>
  <c r="D126" i="33" s="1"/>
  <c r="D127" i="33" s="1"/>
  <c r="D128" i="33" s="1"/>
  <c r="D129" i="33" s="1"/>
  <c r="D130" i="33" s="1"/>
  <c r="D131" i="33" s="1"/>
  <c r="D132" i="33" s="1"/>
  <c r="D133" i="33" s="1"/>
  <c r="D134" i="33" s="1"/>
  <c r="D135" i="33" s="1"/>
  <c r="D136" i="33" s="1"/>
  <c r="D137" i="33" s="1"/>
  <c r="D138" i="33" s="1"/>
  <c r="D139" i="33" s="1"/>
  <c r="D140" i="33" s="1"/>
  <c r="D141" i="33" s="1"/>
  <c r="D142" i="33" s="1"/>
  <c r="D143" i="33" s="1"/>
  <c r="D144" i="33" s="1"/>
  <c r="D145" i="33" s="1"/>
  <c r="D146" i="33" s="1"/>
  <c r="D147" i="33" s="1"/>
  <c r="D148" i="33" s="1"/>
  <c r="D149" i="33" s="1"/>
  <c r="D150" i="33" s="1"/>
  <c r="D151" i="33" s="1"/>
  <c r="D152" i="33" s="1"/>
  <c r="D153" i="33" s="1"/>
  <c r="D154" i="33" s="1"/>
  <c r="D155" i="33" s="1"/>
  <c r="D156" i="33" s="1"/>
  <c r="D157" i="33" s="1"/>
  <c r="D158" i="33" s="1"/>
  <c r="D159" i="33" s="1"/>
  <c r="D160" i="33" s="1"/>
  <c r="D161" i="33" s="1"/>
  <c r="D162" i="33" s="1"/>
  <c r="D163" i="33" s="1"/>
  <c r="D164" i="33" s="1"/>
  <c r="D165" i="33" s="1"/>
  <c r="D166" i="33" s="1"/>
  <c r="D167" i="33" s="1"/>
  <c r="D168" i="33" s="1"/>
  <c r="D169" i="33" s="1"/>
  <c r="D170" i="33" s="1"/>
  <c r="D171" i="33" s="1"/>
  <c r="D172" i="33" s="1"/>
  <c r="D173" i="33" s="1"/>
  <c r="D174" i="33" s="1"/>
  <c r="D175" i="33" s="1"/>
  <c r="D176" i="33" s="1"/>
  <c r="D177" i="33" s="1"/>
  <c r="D178" i="33" s="1"/>
  <c r="D179" i="33" s="1"/>
  <c r="D180" i="33" s="1"/>
  <c r="D181" i="33" s="1"/>
  <c r="D182" i="33" s="1"/>
  <c r="D183" i="33" s="1"/>
  <c r="D184" i="33" s="1"/>
  <c r="D185" i="33" s="1"/>
  <c r="D186" i="33" s="1"/>
  <c r="D187" i="33" s="1"/>
  <c r="D188" i="33" s="1"/>
  <c r="D189" i="33" s="1"/>
  <c r="D190" i="33" s="1"/>
  <c r="D191" i="33" s="1"/>
  <c r="D192" i="33" s="1"/>
  <c r="D193" i="33" s="1"/>
  <c r="D194" i="33" s="1"/>
  <c r="D195" i="33" s="1"/>
  <c r="D196" i="33" s="1"/>
  <c r="C8" i="33"/>
  <c r="C9" i="33" s="1"/>
  <c r="C10" i="33" s="1"/>
  <c r="C11" i="33" s="1"/>
  <c r="C12" i="33" s="1"/>
  <c r="C13" i="33" s="1"/>
  <c r="C14" i="33" s="1"/>
  <c r="C15" i="33" s="1"/>
  <c r="C16" i="33" s="1"/>
  <c r="C17" i="33" s="1"/>
  <c r="C18" i="33" s="1"/>
  <c r="C19" i="33" s="1"/>
  <c r="C20" i="33" s="1"/>
  <c r="C21" i="33" s="1"/>
  <c r="C22" i="33" s="1"/>
  <c r="C23" i="33" s="1"/>
  <c r="C24" i="33" s="1"/>
  <c r="C25" i="33" s="1"/>
  <c r="C26" i="33" s="1"/>
  <c r="C27" i="33" s="1"/>
  <c r="C28" i="33" s="1"/>
  <c r="C29" i="33" s="1"/>
  <c r="C30" i="33" s="1"/>
  <c r="C31" i="33" s="1"/>
  <c r="C32" i="33" s="1"/>
  <c r="C33" i="33" s="1"/>
  <c r="C34" i="33" s="1"/>
  <c r="C35" i="33" s="1"/>
  <c r="C36" i="33" s="1"/>
  <c r="C37" i="33" s="1"/>
  <c r="C38" i="33" s="1"/>
  <c r="C39" i="33" s="1"/>
  <c r="C40" i="33" s="1"/>
  <c r="C41" i="33" s="1"/>
  <c r="C42" i="33" s="1"/>
  <c r="C43" i="33" s="1"/>
  <c r="C44" i="33" s="1"/>
  <c r="C45" i="33" s="1"/>
  <c r="C46" i="33" s="1"/>
  <c r="C47" i="33" s="1"/>
  <c r="C48" i="33" s="1"/>
  <c r="C49" i="33" s="1"/>
  <c r="C50" i="33" s="1"/>
  <c r="C51" i="33" s="1"/>
  <c r="C52" i="33" s="1"/>
  <c r="C53" i="33" s="1"/>
  <c r="C54" i="33" s="1"/>
  <c r="C55" i="33" s="1"/>
  <c r="C56" i="33" s="1"/>
  <c r="C57" i="33" s="1"/>
  <c r="C58" i="33" s="1"/>
  <c r="C59" i="33" s="1"/>
  <c r="C60" i="33" s="1"/>
  <c r="C61" i="33" s="1"/>
  <c r="C62" i="33" s="1"/>
  <c r="C63" i="33" s="1"/>
  <c r="C64" i="33" s="1"/>
  <c r="C65" i="33" s="1"/>
  <c r="C66" i="33" s="1"/>
  <c r="C67" i="33" s="1"/>
  <c r="C68" i="33" s="1"/>
  <c r="C69" i="33" s="1"/>
  <c r="C70" i="33" s="1"/>
  <c r="C71" i="33" s="1"/>
  <c r="C72" i="33" s="1"/>
  <c r="C73" i="33" s="1"/>
  <c r="C74" i="33" s="1"/>
  <c r="C75" i="33" s="1"/>
  <c r="C76" i="33" s="1"/>
  <c r="C77" i="33" s="1"/>
  <c r="C78" i="33" s="1"/>
  <c r="C79" i="33" s="1"/>
  <c r="C80" i="33" s="1"/>
  <c r="C81" i="33" s="1"/>
  <c r="C82" i="33" s="1"/>
  <c r="C83" i="33" s="1"/>
  <c r="C84" i="33" s="1"/>
  <c r="C85" i="33" s="1"/>
  <c r="C86" i="33" s="1"/>
  <c r="C87" i="33" s="1"/>
  <c r="C88" i="33" s="1"/>
  <c r="C89" i="33" s="1"/>
  <c r="C90" i="33" s="1"/>
  <c r="C91" i="33" s="1"/>
  <c r="C92" i="33" s="1"/>
  <c r="C93" i="33" s="1"/>
  <c r="C94" i="33" s="1"/>
  <c r="C95" i="33" s="1"/>
  <c r="C96" i="33" s="1"/>
  <c r="C97" i="33" s="1"/>
  <c r="C98" i="33" s="1"/>
  <c r="C99" i="33" s="1"/>
  <c r="C100" i="33" s="1"/>
  <c r="C101" i="33" s="1"/>
  <c r="C102" i="33" s="1"/>
  <c r="C103" i="33" s="1"/>
  <c r="C104" i="33" s="1"/>
  <c r="C105" i="33" s="1"/>
  <c r="C106" i="33" s="1"/>
  <c r="C107" i="33" s="1"/>
  <c r="C108" i="33" s="1"/>
  <c r="C109" i="33" s="1"/>
  <c r="C110" i="33" s="1"/>
  <c r="C111" i="33" s="1"/>
  <c r="C112" i="33" s="1"/>
  <c r="C113" i="33" s="1"/>
  <c r="C114" i="33" s="1"/>
  <c r="C115" i="33" s="1"/>
  <c r="C116" i="33" s="1"/>
  <c r="C117" i="33" s="1"/>
  <c r="C118" i="33" s="1"/>
  <c r="C119" i="33" s="1"/>
  <c r="C120" i="33" s="1"/>
  <c r="C121" i="33" s="1"/>
  <c r="C122" i="33" s="1"/>
  <c r="C123" i="33" s="1"/>
  <c r="C124" i="33" s="1"/>
  <c r="C125" i="33" s="1"/>
  <c r="C126" i="33" s="1"/>
  <c r="C127" i="33" s="1"/>
  <c r="C128" i="33" s="1"/>
  <c r="C129" i="33" s="1"/>
  <c r="C130" i="33" s="1"/>
  <c r="C131" i="33" s="1"/>
  <c r="C132" i="33" s="1"/>
  <c r="C133" i="33" s="1"/>
  <c r="C134" i="33" s="1"/>
  <c r="C135" i="33" s="1"/>
  <c r="C136" i="33" s="1"/>
  <c r="C137" i="33" s="1"/>
  <c r="C138" i="33" s="1"/>
  <c r="C139" i="33" s="1"/>
  <c r="C140" i="33" s="1"/>
  <c r="C141" i="33" s="1"/>
  <c r="C142" i="33" s="1"/>
  <c r="C143" i="33" s="1"/>
  <c r="C144" i="33" s="1"/>
  <c r="C145" i="33" s="1"/>
  <c r="C146" i="33" s="1"/>
  <c r="C147" i="33" s="1"/>
  <c r="C148" i="33" s="1"/>
  <c r="C149" i="33" s="1"/>
  <c r="C150" i="33" s="1"/>
  <c r="C151" i="33" s="1"/>
  <c r="C152" i="33" s="1"/>
  <c r="C153" i="33" s="1"/>
  <c r="C154" i="33" s="1"/>
  <c r="C155" i="33" s="1"/>
  <c r="C156" i="33" s="1"/>
  <c r="C157" i="33" s="1"/>
  <c r="C158" i="33" s="1"/>
  <c r="C159" i="33" s="1"/>
  <c r="C160" i="33" s="1"/>
  <c r="C161" i="33" s="1"/>
  <c r="C162" i="33" s="1"/>
  <c r="C163" i="33" s="1"/>
  <c r="C164" i="33" s="1"/>
  <c r="C165" i="33" s="1"/>
  <c r="C166" i="33" s="1"/>
  <c r="C167" i="33" s="1"/>
  <c r="C168" i="33" s="1"/>
  <c r="C169" i="33" s="1"/>
  <c r="C170" i="33" s="1"/>
  <c r="C171" i="33" s="1"/>
  <c r="C172" i="33" s="1"/>
  <c r="C173" i="33" s="1"/>
  <c r="C174" i="33" s="1"/>
  <c r="C175" i="33" s="1"/>
  <c r="C176" i="33" s="1"/>
  <c r="C177" i="33" s="1"/>
  <c r="C178" i="33" s="1"/>
  <c r="C179" i="33" s="1"/>
  <c r="C180" i="33" s="1"/>
  <c r="C181" i="33" s="1"/>
  <c r="C182" i="33" s="1"/>
  <c r="C183" i="33" s="1"/>
  <c r="C184" i="33" s="1"/>
  <c r="C185" i="33" s="1"/>
  <c r="C186" i="33" s="1"/>
  <c r="C187" i="33" s="1"/>
  <c r="C188" i="33" s="1"/>
  <c r="C189" i="33" s="1"/>
  <c r="C190" i="33" s="1"/>
  <c r="C191" i="33" s="1"/>
  <c r="C192" i="33" s="1"/>
  <c r="C193" i="33" s="1"/>
  <c r="C194" i="33" s="1"/>
  <c r="C195" i="33" s="1"/>
  <c r="C196" i="33" s="1"/>
  <c r="B8" i="33"/>
  <c r="B9" i="33" s="1"/>
  <c r="B10" i="33" s="1"/>
  <c r="B11" i="33" s="1"/>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B38" i="33" s="1"/>
  <c r="B39" i="33" s="1"/>
  <c r="B40" i="33" s="1"/>
  <c r="B41" i="33" s="1"/>
  <c r="B42" i="33" s="1"/>
  <c r="B43" i="33" s="1"/>
  <c r="B44" i="33" s="1"/>
  <c r="B45" i="33" s="1"/>
  <c r="B46" i="33" s="1"/>
  <c r="B47" i="33" s="1"/>
  <c r="B48" i="33" s="1"/>
  <c r="B49" i="33" s="1"/>
  <c r="B50" i="33" s="1"/>
  <c r="B51" i="33" s="1"/>
  <c r="B52" i="33" s="1"/>
  <c r="B53" i="33" s="1"/>
  <c r="B54" i="33" s="1"/>
  <c r="B55" i="33" s="1"/>
  <c r="B56" i="33" s="1"/>
  <c r="B57" i="33" s="1"/>
  <c r="B58" i="33" s="1"/>
  <c r="B59" i="33" s="1"/>
  <c r="B60" i="33" s="1"/>
  <c r="B61" i="33" s="1"/>
  <c r="B62" i="33" s="1"/>
  <c r="B63" i="33" s="1"/>
  <c r="B64" i="33" s="1"/>
  <c r="B65" i="33" s="1"/>
  <c r="B66" i="33" s="1"/>
  <c r="B67" i="33" s="1"/>
  <c r="B68" i="33" s="1"/>
  <c r="B69" i="33" s="1"/>
  <c r="B70" i="33" s="1"/>
  <c r="B71" i="33" s="1"/>
  <c r="B72" i="33" s="1"/>
  <c r="B73" i="33" s="1"/>
  <c r="B74" i="33" s="1"/>
  <c r="B75" i="33" s="1"/>
  <c r="B76" i="33" s="1"/>
  <c r="B77" i="33" s="1"/>
  <c r="B78" i="33" s="1"/>
  <c r="B79" i="33" s="1"/>
  <c r="B80" i="33" s="1"/>
  <c r="B81" i="33" s="1"/>
  <c r="B82" i="33" s="1"/>
  <c r="B83" i="33" s="1"/>
  <c r="B84" i="33" s="1"/>
  <c r="B85" i="33" s="1"/>
  <c r="B86" i="33" s="1"/>
  <c r="B87" i="33" s="1"/>
  <c r="B88" i="33" s="1"/>
  <c r="B89" i="33" s="1"/>
  <c r="B90" i="33" s="1"/>
  <c r="B91" i="33" s="1"/>
  <c r="B92" i="33" s="1"/>
  <c r="B93" i="33" s="1"/>
  <c r="B94" i="33" s="1"/>
  <c r="B95" i="33" s="1"/>
  <c r="B96" i="33" s="1"/>
  <c r="B97" i="33" s="1"/>
  <c r="B98" i="33" s="1"/>
  <c r="B99" i="33" s="1"/>
  <c r="B100" i="33" s="1"/>
  <c r="B101" i="33" s="1"/>
  <c r="B102" i="33" s="1"/>
  <c r="B103" i="33" s="1"/>
  <c r="B104" i="33" s="1"/>
  <c r="B105" i="33" s="1"/>
  <c r="B106" i="33" s="1"/>
  <c r="B107" i="33" s="1"/>
  <c r="B108" i="33" s="1"/>
  <c r="B109" i="33" s="1"/>
  <c r="B110" i="33" s="1"/>
  <c r="B111" i="33" s="1"/>
  <c r="B112" i="33" s="1"/>
  <c r="B113" i="33" s="1"/>
  <c r="B114" i="33" s="1"/>
  <c r="B115" i="33" s="1"/>
  <c r="B116" i="33" s="1"/>
  <c r="B117" i="33" s="1"/>
  <c r="B118" i="33" s="1"/>
  <c r="B119" i="33" s="1"/>
  <c r="B120" i="33" s="1"/>
  <c r="B121" i="33" s="1"/>
  <c r="B122" i="33" s="1"/>
  <c r="B123" i="33" s="1"/>
  <c r="B124" i="33" s="1"/>
  <c r="B125" i="33" s="1"/>
  <c r="B126" i="33" s="1"/>
  <c r="B127" i="33" s="1"/>
  <c r="B128" i="33" s="1"/>
  <c r="B129" i="33" s="1"/>
  <c r="B130" i="33" s="1"/>
  <c r="B131" i="33" s="1"/>
  <c r="B132" i="33" s="1"/>
  <c r="B133" i="33" s="1"/>
  <c r="B134" i="33" s="1"/>
  <c r="B135" i="33" s="1"/>
  <c r="B136" i="33" s="1"/>
  <c r="B137" i="33" s="1"/>
  <c r="B138" i="33" s="1"/>
  <c r="B139" i="33" s="1"/>
  <c r="B140" i="33" s="1"/>
  <c r="B141" i="33" s="1"/>
  <c r="B142" i="33" s="1"/>
  <c r="B143" i="33" s="1"/>
  <c r="B144" i="33" s="1"/>
  <c r="B145" i="33" s="1"/>
  <c r="B146" i="33" s="1"/>
  <c r="B147" i="33" s="1"/>
  <c r="B148" i="33" s="1"/>
  <c r="B149" i="33" s="1"/>
  <c r="B150" i="33" s="1"/>
  <c r="B151" i="33" s="1"/>
  <c r="B152" i="33" s="1"/>
  <c r="B153" i="33" s="1"/>
  <c r="B154" i="33" s="1"/>
  <c r="B155" i="33" s="1"/>
  <c r="B156" i="33" s="1"/>
  <c r="B157" i="33" s="1"/>
  <c r="B158" i="33" s="1"/>
  <c r="B159" i="33" s="1"/>
  <c r="B160" i="33" s="1"/>
  <c r="B161" i="33" s="1"/>
  <c r="B162" i="33" s="1"/>
  <c r="B163" i="33" s="1"/>
  <c r="B164" i="33" s="1"/>
  <c r="B165" i="33" s="1"/>
  <c r="B166" i="33" s="1"/>
  <c r="B167" i="33" s="1"/>
  <c r="B168" i="33" s="1"/>
  <c r="B169" i="33" s="1"/>
  <c r="B170" i="33" s="1"/>
  <c r="B171" i="33" s="1"/>
  <c r="B172" i="33" s="1"/>
  <c r="B173" i="33" s="1"/>
  <c r="B174" i="33" s="1"/>
  <c r="B175" i="33" s="1"/>
  <c r="B176" i="33" s="1"/>
  <c r="B177" i="33" s="1"/>
  <c r="B178" i="33" s="1"/>
  <c r="B179" i="33" s="1"/>
  <c r="B180" i="33" s="1"/>
  <c r="B181" i="33" s="1"/>
  <c r="B182" i="33" s="1"/>
  <c r="B183" i="33" s="1"/>
  <c r="B184" i="33" s="1"/>
  <c r="B185" i="33" s="1"/>
  <c r="B186" i="33" s="1"/>
  <c r="B187" i="33" s="1"/>
  <c r="B188" i="33" s="1"/>
  <c r="B189" i="33" s="1"/>
  <c r="B190" i="33" s="1"/>
  <c r="B191" i="33" s="1"/>
  <c r="B192" i="33" s="1"/>
  <c r="B193" i="33" s="1"/>
  <c r="B194" i="33" s="1"/>
  <c r="B195" i="33" s="1"/>
  <c r="B196" i="33" s="1"/>
</calcChain>
</file>

<file path=xl/sharedStrings.xml><?xml version="1.0" encoding="utf-8"?>
<sst xmlns="http://schemas.openxmlformats.org/spreadsheetml/2006/main" count="128" uniqueCount="121">
  <si>
    <t>Contrato:</t>
  </si>
  <si>
    <t>Início vigência:</t>
  </si>
  <si>
    <t>Fim vigência:</t>
  </si>
  <si>
    <t>INÍCIO</t>
  </si>
  <si>
    <t>FIM</t>
  </si>
  <si>
    <t>SEMANA</t>
  </si>
  <si>
    <r>
      <rPr>
        <b/>
        <sz val="11"/>
        <color rgb="FFFF0000"/>
        <rFont val="Calibri"/>
        <family val="2"/>
        <scheme val="minor"/>
      </rPr>
      <t xml:space="preserve">Sugestão: </t>
    </r>
    <r>
      <rPr>
        <sz val="11"/>
        <color rgb="FFFF0000"/>
        <rFont val="Calibri"/>
        <family val="2"/>
        <scheme val="minor"/>
      </rPr>
      <t>Preencher com a data da segunda feira da semana da OS</t>
    </r>
  </si>
  <si>
    <t>1.1</t>
  </si>
  <si>
    <t>1.2</t>
  </si>
  <si>
    <t>1.3</t>
  </si>
  <si>
    <t>1.4</t>
  </si>
  <si>
    <t>Indicadores de Controle - Aderência semanal - PPC - Tabela de Dados</t>
  </si>
  <si>
    <t>Mês</t>
  </si>
  <si>
    <t>META</t>
  </si>
  <si>
    <t>PPC &gt; META</t>
  </si>
  <si>
    <t>MÉDIA</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</si>
  <si>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</si>
  <si>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</si>
  <si>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</si>
  <si>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</si>
  <si>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</si>
  <si>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</si>
  <si>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</si>
  <si>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</si>
  <si>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</si>
  <si>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</si>
  <si>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</si>
  <si>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</si>
  <si>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</si>
  <si>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</si>
  <si>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</si>
  <si>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</si>
  <si>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</si>
  <si>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</si>
  <si>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</si>
  <si>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</si>
  <si>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</si>
  <si>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</si>
  <si>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</si>
  <si>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</si>
  <si>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</si>
  <si>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</si>
  <si>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</si>
  <si>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MÉDIA MÓVEL</t>
  </si>
  <si>
    <t>GERAL</t>
  </si>
  <si>
    <t>PPC &lt; META</t>
  </si>
  <si>
    <t xml:space="preserve">PDE VENTURA </t>
  </si>
  <si>
    <t xml:space="preserve">REGREIDE </t>
  </si>
  <si>
    <t xml:space="preserve">CANTEIRO </t>
  </si>
  <si>
    <t>Orientação: preencher os campos em branco com o resultado do PPC da semana conforme detalhamento na planilha Modelo</t>
  </si>
  <si>
    <t>ÁREA</t>
  </si>
  <si>
    <t>CÓDIGO DA ÁREA</t>
  </si>
  <si>
    <t>CANTEIRO PRINCIPAL</t>
  </si>
  <si>
    <t>ESCRITÓRIO ADMINISTRATIVO</t>
  </si>
  <si>
    <t>ESCRITÓRIO DO CLIENTE</t>
  </si>
  <si>
    <t>ALOJAMENTO</t>
  </si>
  <si>
    <t>REFEITÓRIO</t>
  </si>
  <si>
    <t>CANTEIRO INDUSTRIAL</t>
  </si>
  <si>
    <t>2.1</t>
  </si>
  <si>
    <t>CENTRAL DE CONCRETO CCR</t>
  </si>
  <si>
    <t>2.2</t>
  </si>
  <si>
    <t>CENTRAL DE CONCRETO CCV</t>
  </si>
  <si>
    <t>2.3</t>
  </si>
  <si>
    <t>CENTRAL DE CARPINTARIA</t>
  </si>
  <si>
    <t>2.4</t>
  </si>
  <si>
    <t>CENTRAL DE ARMAÇÃO</t>
  </si>
  <si>
    <t>2.5</t>
  </si>
  <si>
    <t>CENTRAL DE PRÉ-MOLDADOS / EMBUTIDOS</t>
  </si>
  <si>
    <t>2.6</t>
  </si>
  <si>
    <t>OFICINA MECÂNICA E LUBRIFICAÇÃO</t>
  </si>
  <si>
    <t>2.7</t>
  </si>
  <si>
    <t>RAMPA DE LAVAGEM</t>
  </si>
  <si>
    <t>CANTEIRO AVANÇADO</t>
  </si>
  <si>
    <t>3.1</t>
  </si>
  <si>
    <t>ESCRITÓRIO DE CAMPO</t>
  </si>
  <si>
    <t>ESTRADAS E ACESSOS</t>
  </si>
  <si>
    <t>4.1</t>
  </si>
  <si>
    <t>ACESSOS MARGEM DIREITA</t>
  </si>
  <si>
    <t>4.2</t>
  </si>
  <si>
    <t>ACESSOS MARGEM ESQUERDA</t>
  </si>
  <si>
    <t>4.3</t>
  </si>
  <si>
    <t>FERROVIA</t>
  </si>
  <si>
    <t>SERVIÇOS PRELIMINARES</t>
  </si>
  <si>
    <t>5.1</t>
  </si>
  <si>
    <t>SONDAGEM</t>
  </si>
  <si>
    <t>5.2</t>
  </si>
  <si>
    <t>SUPRESSÃO VEGETAL</t>
  </si>
  <si>
    <t>5.3</t>
  </si>
  <si>
    <t>REDE DE ÁGUA E ESGOTO</t>
  </si>
  <si>
    <t>5.4</t>
  </si>
  <si>
    <t>REDE ELÉTRICA</t>
  </si>
  <si>
    <t>5.5</t>
  </si>
  <si>
    <t>REDE DE AR COMPRIMIDO</t>
  </si>
  <si>
    <t>5.6</t>
  </si>
  <si>
    <t>ATERRO SANITÁRIO</t>
  </si>
  <si>
    <t>OBRAS AUXILIARES</t>
  </si>
  <si>
    <t>6.1</t>
  </si>
  <si>
    <t>ESTOQUE DE AGREGADOS PRÓX. FERROVIA</t>
  </si>
  <si>
    <t>6.2</t>
  </si>
  <si>
    <t>ESTOQUE DE AGREGADOS NA CENTRAL DE CONCRETO</t>
  </si>
  <si>
    <t>6.3</t>
  </si>
  <si>
    <t>BOTA-FORA</t>
  </si>
  <si>
    <t>6.4</t>
  </si>
  <si>
    <t>EMBARQUE/DESEMBARQUE FERROVIA</t>
  </si>
  <si>
    <t>6.5</t>
  </si>
  <si>
    <t>EMBARQUE/DESEMBARQUE CANTEIRO</t>
  </si>
  <si>
    <t>DESVIO DO RIO</t>
  </si>
  <si>
    <t>7.1</t>
  </si>
  <si>
    <t>ENSECADEIRA A MONTANTE</t>
  </si>
  <si>
    <t>7.2</t>
  </si>
  <si>
    <t>ENSECADEIRA A JUSANTE</t>
  </si>
  <si>
    <t>7.3</t>
  </si>
  <si>
    <t>ESGOTAMENTO</t>
  </si>
  <si>
    <t>7.4</t>
  </si>
  <si>
    <t>GALERIA PRÉ-MOLDADO</t>
  </si>
  <si>
    <t>ESTRUTURA DE CONTENÇÃO</t>
  </si>
  <si>
    <t>8.1</t>
  </si>
  <si>
    <t>BARRAGEM DE CONTENÇÃO EM CCR</t>
  </si>
  <si>
    <t>EXTRAVASOR LATERAL</t>
  </si>
  <si>
    <t>9.1</t>
  </si>
  <si>
    <t>ESTRUTURA VERTENTE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</si>
</sst>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8" formatCode="[$-416]mmm\-yy;@"/>
  </numFmts>
  <fonts count="20" x14ac:knownFonts="1">
    <font>
      <sz val="11"/>
      <color theme="1"/>
      <name val="Calibri"/>
      <family val="2"/>
      <scheme val="minor"/>
    </font>
    <font>
      <sz val="11"/>
      <color indexed="8"/>
      <name val="Calibri"/>
      <family val="2"/>
    </font>
    <font>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b/>
      <sz val="11"/>
      <color theme="1"/>
      <name val="Calibri"/>
      <family val="2"/>
      <scheme val="minor"/>
    </font>
    <font>
      <sz val="10"/>
      <name val="Arial"/>
      <family val="2"/>
    </font>
    <font>
      <sz val="11"/>
      <color rgb="FFFF0000"/>
      <name val="Calibri"/>
      <family val="2"/>
      <scheme val="minor"/>
    </font>
    <font>
      <sz val="12"/>
      <color theme="1"/>
      <name val="Calibri"/>
      <family val="2"/>
      <scheme val="minor"/>
    </font>
    <font>
      <sz val="12"/>
      <name val="Calibri"/>
      <family val="2"/>
      <scheme val="minor"/>
    </font>
    <font>
      <sz val="14"/>
      <color theme="1"/>
      <name val="Calibri"/>
      <family val="2"/>
      <scheme val="minor"/>
    </font>
    <font>
      <b/>
      <sz val="16"/>
      <color rgb="FF008080"/>
      <name val="Calibri"/>
      <family val="2"/>
      <scheme val="minor"/>
    </font>
    <font>
      <b/>
      <sz val="18"/>
      <color rgb="FF008080"/>
      <name val="Calibri"/>
      <family val="2"/>
      <scheme val="minor"/>
    </font>
    <font>
      <sz val="8"/>
      <name val="Calibri"/>
      <family val="2"/>
      <scheme val="minor"/>
    </font>
    <font>
      <sz val="12"/>
      <color theme="0"/>
      <name val="Calibri"/>
      <family val="2"/>
      <scheme val="minor"/>
    </font>
    <font>
      <sz val="12"/>
      <color theme="0" tint="-0.34998626667073579"/>
      <name val="Calibri"/>
      <family val="2"/>
      <scheme val="minor"/>
    </font>
    <font>
      <sz val="12"/>
      <color theme="0" tint="-0.14999847407452621"/>
      <name val="Calibri"/>
      <family val="2"/>
      <scheme val="minor"/>
    </font>
    <font>
      <b/>
      <sz val="11"/>
      <color rgb="FFFF0000"/>
      <name val="Calibri"/>
      <family val="2"/>
      <scheme val="minor"/>
    </font>
    <font>
      <sz val="12"/>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099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3499862666707357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medium">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s>
  <cellStyleXfs count="209">
    <xf numFmtId="0" fontId="0" fillId="0" borderId="0"/>
    <xf numFmtId="9" fontId="1"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2" fillId="0" borderId="0" applyFont="0" applyFill="0" applyBorder="0" applyAlignment="0" applyProtection="0"/>
    <xf numFmtId="0" fontId="7"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 fillId="0" borderId="0"/>
    <xf numFmtId="0" fontId="2" fillId="0" borderId="0"/>
  </cellStyleXfs>
  <cellXfs count="52">
    <xf numFmtId="0" fontId="0" fillId="0" borderId="0" xfId="0"/>
    <xf numFmtId="0" fontId="6" fillId="2" borderId="0" xfId="0" applyFont="1" applyFill="1" applyAlignment="1">
      <alignment horizontal="right"/>
    </xf>
    <xf numFmtId="0" fontId="0" fillId="2" borderId="0" xfId="0" applyFill="1" applyAlignment="1">
      <alignment horizontal="center"/>
    </xf>
    <xf numFmtId="0" fontId="0" fillId="2" borderId="0" xfId="0" applyFill="1"/>
    <xf numFmtId="14" fontId="0" fillId="2" borderId="0" xfId="0" applyNumberFormat="1" applyFill="1" applyAlignment="1">
      <alignment horizontal="center"/>
    </xf>
    <xf numFmtId="0" fontId="5" fillId="3" borderId="1" xfId="0" applyFont="1" applyFill="1"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6" borderId="0" xfId="0" applyFill="1" applyAlignment="1">
      <alignment horizontal="center"/>
    </xf>
    <xf numFmtId="14" fontId="0" fillId="6" borderId="0" xfId="0" applyNumberFormat="1" applyFill="1" applyAlignment="1">
      <alignment horizontal="center"/>
    </xf>
    <xf numFmtId="14" fontId="0" fillId="2" borderId="1" xfId="0" applyNumberFormat="1" applyFill="1" applyBorder="1" applyAlignment="1">
      <alignment horizontal="center" vertical="center"/>
    </xf>
    <xf numFmtId="0" fontId="15" fillId="7" borderId="7" xfId="0" applyFont="1" applyFill="1" applyBorder="1" applyAlignment="1">
      <alignment horizontal="center" vertical="center"/>
    </xf>
    <xf numFmtId="9" fontId="10" fillId="4" borderId="7" xfId="199" applyFont="1" applyFill="1" applyBorder="1" applyAlignment="1">
      <alignment horizontal="center" vertical="center"/>
    </xf>
    <xf numFmtId="9" fontId="9" fillId="0" borderId="7" xfId="199" applyFont="1" applyBorder="1" applyAlignment="1">
      <alignment horizontal="center" vertical="center"/>
    </xf>
    <xf numFmtId="0" fontId="15" fillId="7" borderId="13" xfId="0" applyFont="1" applyFill="1" applyBorder="1" applyAlignment="1">
      <alignment horizontal="center" vertical="center"/>
    </xf>
    <xf numFmtId="9" fontId="10" fillId="4" borderId="7" xfId="0" applyNumberFormat="1" applyFont="1" applyFill="1" applyBorder="1" applyAlignment="1">
      <alignment horizontal="center" vertical="center"/>
    </xf>
    <xf numFmtId="9" fontId="9" fillId="4" borderId="7" xfId="199" applyFont="1" applyFill="1" applyBorder="1" applyAlignment="1">
      <alignment horizontal="center" vertical="center"/>
    </xf>
    <xf numFmtId="9" fontId="9" fillId="4" borderId="14" xfId="199" applyFont="1" applyFill="1" applyBorder="1" applyAlignment="1">
      <alignment horizontal="center" vertical="center"/>
    </xf>
    <xf numFmtId="0" fontId="10" fillId="4" borderId="7" xfId="0" applyFont="1" applyFill="1" applyBorder="1" applyAlignment="1">
      <alignment horizontal="center" vertical="center"/>
    </xf>
    <xf numFmtId="0" fontId="16" fillId="7" borderId="7" xfId="0" applyFont="1" applyFill="1" applyBorder="1" applyAlignment="1">
      <alignment horizontal="center" vertical="center"/>
    </xf>
    <xf numFmtId="0" fontId="11" fillId="0" borderId="0" xfId="0" applyFont="1"/>
    <xf numFmtId="9" fontId="17" fillId="4" borderId="7" xfId="199" applyFont="1"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8" fillId="6" borderId="0" xfId="0" applyFont="1" applyFill="1" applyAlignment="1">
      <alignment wrapText="1"/>
    </xf>
    <xf numFmtId="0" fontId="18" fillId="2" borderId="0" xfId="208" applyFont="1" applyFill="1" applyAlignment="1">
      <alignment horizontal="left" vertical="center"/>
    </xf>
    <xf numFmtId="0" fontId="15" fillId="7" borderId="16" xfId="0" applyFont="1" applyFill="1" applyBorder="1" applyAlignment="1">
      <alignment horizontal="center" vertical="center"/>
    </xf>
    <xf numFmtId="9" fontId="10" fillId="4" borderId="9" xfId="0" applyNumberFormat="1" applyFont="1" applyFill="1" applyBorder="1" applyAlignment="1">
      <alignment horizontal="center" vertical="center"/>
    </xf>
    <xf numFmtId="9" fontId="17" fillId="4" borderId="9" xfId="199" applyFont="1" applyFill="1" applyBorder="1" applyAlignment="1">
      <alignment horizontal="center" vertical="center"/>
    </xf>
    <xf numFmtId="0" fontId="13" fillId="2" borderId="11" xfId="0" applyFont="1" applyFill="1" applyBorder="1" applyAlignment="1">
      <alignment vertical="center"/>
    </xf>
    <xf numFmtId="0" fontId="13" fillId="2" borderId="12" xfId="0" applyFont="1" applyFill="1" applyBorder="1" applyAlignment="1">
      <alignment vertical="center"/>
    </xf>
    <xf numFmtId="9" fontId="10" fillId="4" borderId="10" xfId="0" applyNumberFormat="1" applyFont="1" applyFill="1" applyBorder="1" applyAlignment="1">
      <alignment horizontal="center" vertical="center"/>
    </xf>
    <xf numFmtId="9" fontId="10" fillId="4" borderId="9" xfId="0" applyNumberFormat="1" applyFont="1" applyFill="1" applyBorder="1" applyAlignment="1">
      <alignment horizontal="center" vertical="center"/>
    </xf>
    <xf numFmtId="9" fontId="17" fillId="4" borderId="10" xfId="199" applyFont="1" applyFill="1" applyBorder="1" applyAlignment="1">
      <alignment horizontal="center" vertical="center"/>
    </xf>
    <xf numFmtId="9" fontId="17" fillId="4" borderId="9" xfId="199" applyFont="1" applyFill="1" applyBorder="1" applyAlignment="1">
      <alignment horizontal="center" vertical="center"/>
    </xf>
    <xf numFmtId="0" fontId="15" fillId="7" borderId="15"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5" fillId="7" borderId="15" xfId="0" applyFont="1" applyFill="1" applyBorder="1" applyAlignment="1">
      <alignment horizontal="center" vertical="center"/>
    </xf>
    <xf numFmtId="0" fontId="15" fillId="7" borderId="16" xfId="0" applyFont="1" applyFill="1" applyBorder="1" applyAlignment="1">
      <alignment horizontal="center" vertical="center"/>
    </xf>
    <xf numFmtId="168" fontId="12" fillId="6" borderId="17" xfId="0" applyNumberFormat="1" applyFont="1" applyFill="1" applyBorder="1" applyAlignment="1">
      <alignment horizontal="center" vertical="center"/>
    </xf>
    <xf numFmtId="168" fontId="12" fillId="6" borderId="18" xfId="0" applyNumberFormat="1" applyFont="1" applyFill="1" applyBorder="1" applyAlignment="1">
      <alignment horizontal="center" vertical="center"/>
    </xf>
    <xf numFmtId="168" fontId="12" fillId="6" borderId="8"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12" fillId="6" borderId="7" xfId="0" applyFont="1" applyFill="1" applyBorder="1" applyAlignment="1">
      <alignment horizontal="center" vertical="center"/>
    </xf>
    <xf numFmtId="9" fontId="19" fillId="4" borderId="10" xfId="199" applyFont="1" applyFill="1" applyBorder="1" applyAlignment="1">
      <alignment horizontal="center" vertical="center"/>
    </xf>
    <xf numFmtId="9" fontId="19" fillId="4" borderId="9" xfId="199" applyFont="1" applyFill="1" applyBorder="1" applyAlignment="1">
      <alignment horizontal="center" vertical="center"/>
    </xf>
    <xf numFmtId="0" fontId="6" fillId="5" borderId="5" xfId="0" applyFont="1" applyFill="1" applyBorder="1" applyAlignment="1">
      <alignment horizontal="center"/>
    </xf>
    <xf numFmtId="0" fontId="6" fillId="5" borderId="6"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209">
    <cellStyle name="Hiperlink" xfId="9" builtinId="8" hidden="1"/>
    <cellStyle name="Hiperlink" xfId="5" builtinId="8" hidden="1"/>
    <cellStyle name="Hiperlink" xfId="21" builtinId="8" hidden="1"/>
    <cellStyle name="Hiperlink" xfId="15" builtinId="8" hidden="1"/>
    <cellStyle name="Hiperlink" xfId="45" builtinId="8" hidden="1"/>
    <cellStyle name="Hiperlink" xfId="59" builtinId="8" hidden="1"/>
    <cellStyle name="Hiperlink" xfId="49" builtinId="8" hidden="1"/>
    <cellStyle name="Hiperlink" xfId="39" builtinId="8" hidden="1"/>
    <cellStyle name="Hiperlink" xfId="27" builtinId="8" hidden="1"/>
    <cellStyle name="Hiperlink" xfId="73" builtinId="8" hidden="1"/>
    <cellStyle name="Hiperlink" xfId="89" builtinId="8" hidden="1"/>
    <cellStyle name="Hiperlink" xfId="105" builtinId="8" hidden="1"/>
    <cellStyle name="Hiperlink" xfId="121" builtinId="8" hidden="1"/>
    <cellStyle name="Hiperlink" xfId="137" builtinId="8" hidden="1"/>
    <cellStyle name="Hiperlink" xfId="153" builtinId="8" hidden="1"/>
    <cellStyle name="Hiperlink" xfId="169" builtinId="8" hidden="1"/>
    <cellStyle name="Hiperlink" xfId="185" builtinId="8" hidden="1"/>
    <cellStyle name="Hiperlink" xfId="195" builtinId="8" hidden="1"/>
    <cellStyle name="Hiperlink" xfId="107" builtinId="8" hidden="1"/>
    <cellStyle name="Hiperlink" xfId="119" builtinId="8" hidden="1"/>
    <cellStyle name="Hiperlink" xfId="127" builtinId="8" hidden="1"/>
    <cellStyle name="Hiperlink" xfId="139" builtinId="8" hidden="1"/>
    <cellStyle name="Hiperlink" xfId="151" builtinId="8" hidden="1"/>
    <cellStyle name="Hiperlink" xfId="159" builtinId="8" hidden="1"/>
    <cellStyle name="Hiperlink" xfId="171" builtinId="8" hidden="1"/>
    <cellStyle name="Hiperlink" xfId="183" builtinId="8" hidden="1"/>
    <cellStyle name="Hiperlink" xfId="163" builtinId="8" hidden="1"/>
    <cellStyle name="Hiperlink" xfId="131" builtinId="8" hidden="1"/>
    <cellStyle name="Hiperlink" xfId="83" builtinId="8" hidden="1"/>
    <cellStyle name="Hiperlink" xfId="91" builtinId="8" hidden="1"/>
    <cellStyle name="Hiperlink" xfId="103" builtinId="8" hidden="1"/>
    <cellStyle name="Hiperlink" xfId="75" builtinId="8" hidden="1"/>
    <cellStyle name="Hiperlink" xfId="71" builtinId="8" hidden="1"/>
    <cellStyle name="Hiperlink" xfId="67" builtinId="8" hidden="1"/>
    <cellStyle name="Hiperlink" xfId="79" builtinId="8" hidden="1"/>
    <cellStyle name="Hiperlink" xfId="99" builtinId="8" hidden="1"/>
    <cellStyle name="Hiperlink" xfId="95" builtinId="8" hidden="1"/>
    <cellStyle name="Hiperlink" xfId="87" builtinId="8" hidden="1"/>
    <cellStyle name="Hiperlink" xfId="115" builtinId="8" hidden="1"/>
    <cellStyle name="Hiperlink" xfId="147" builtinId="8" hidden="1"/>
    <cellStyle name="Hiperlink" xfId="179" builtinId="8" hidden="1"/>
    <cellStyle name="Hiperlink" xfId="175" builtinId="8" hidden="1"/>
    <cellStyle name="Hiperlink" xfId="167" builtinId="8" hidden="1"/>
    <cellStyle name="Hiperlink" xfId="155" builtinId="8" hidden="1"/>
    <cellStyle name="Hiperlink" xfId="143" builtinId="8" hidden="1"/>
    <cellStyle name="Hiperlink" xfId="135" builtinId="8" hidden="1"/>
    <cellStyle name="Hiperlink" xfId="123" builtinId="8" hidden="1"/>
    <cellStyle name="Hiperlink" xfId="111" builtinId="8" hidden="1"/>
    <cellStyle name="Hiperlink" xfId="187" builtinId="8" hidden="1"/>
    <cellStyle name="Hiperlink" xfId="193" builtinId="8" hidden="1"/>
    <cellStyle name="Hiperlink" xfId="177" builtinId="8" hidden="1"/>
    <cellStyle name="Hiperlink" xfId="161" builtinId="8" hidden="1"/>
    <cellStyle name="Hiperlink" xfId="145" builtinId="8" hidden="1"/>
    <cellStyle name="Hiperlink" xfId="129" builtinId="8" hidden="1"/>
    <cellStyle name="Hiperlink" xfId="113" builtinId="8" hidden="1"/>
    <cellStyle name="Hiperlink" xfId="97" builtinId="8" hidden="1"/>
    <cellStyle name="Hiperlink" xfId="81" builtinId="8" hidden="1"/>
    <cellStyle name="Hiperlink" xfId="65" builtinId="8" hidden="1"/>
    <cellStyle name="Hiperlink" xfId="33" builtinId="8" hidden="1"/>
    <cellStyle name="Hiperlink" xfId="43" builtinId="8" hidden="1"/>
    <cellStyle name="Hiperlink" xfId="55" builtinId="8" hidden="1"/>
    <cellStyle name="Hiperlink" xfId="61" builtinId="8" hidden="1"/>
    <cellStyle name="Hiperlink" xfId="29" builtinId="8" hidden="1"/>
    <cellStyle name="Hiperlink" xfId="19" builtinId="8" hidden="1"/>
    <cellStyle name="Hiperlink" xfId="11" builtinId="8" hidden="1"/>
    <cellStyle name="Hiperlink" xfId="7" builtinId="8" hidden="1"/>
    <cellStyle name="Hiperlink" xfId="23" builtinId="8" hidden="1"/>
    <cellStyle name="Hiperlink" xfId="125" builtinId="8" hidden="1"/>
    <cellStyle name="Hiperlink" xfId="117" builtinId="8" hidden="1"/>
    <cellStyle name="Hiperlink" xfId="101" builtinId="8" hidden="1"/>
    <cellStyle name="Hiperlink" xfId="93" builtinId="8" hidden="1"/>
    <cellStyle name="Hiperlink" xfId="85" builtinId="8" hidden="1"/>
    <cellStyle name="Hiperlink" xfId="69" builtinId="8" hidden="1"/>
    <cellStyle name="Hiperlink" xfId="25" builtinId="8" hidden="1"/>
    <cellStyle name="Hiperlink" xfId="31" builtinId="8" hidden="1"/>
    <cellStyle name="Hiperlink" xfId="41" builtinId="8" hidden="1"/>
    <cellStyle name="Hiperlink" xfId="47" builtinId="8" hidden="1"/>
    <cellStyle name="Hiperlink" xfId="51" builtinId="8" hidden="1"/>
    <cellStyle name="Hiperlink" xfId="63" builtinId="8" hidden="1"/>
    <cellStyle name="Hiperlink" xfId="53" builtinId="8" hidden="1"/>
    <cellStyle name="Hiperlink" xfId="37" builtinId="8" hidden="1"/>
    <cellStyle name="Hiperlink" xfId="17" builtinId="8" hidden="1"/>
    <cellStyle name="Hiperlink" xfId="13" builtinId="8" hidden="1"/>
    <cellStyle name="Hiperlink" xfId="57" builtinId="8" hidden="1"/>
    <cellStyle name="Hiperlink" xfId="35" builtinId="8" hidden="1"/>
    <cellStyle name="Hiperlink" xfId="77" builtinId="8" hidden="1"/>
    <cellStyle name="Hiperlink" xfId="109" builtinId="8" hidden="1"/>
    <cellStyle name="Hiperlink" xfId="173" builtinId="8" hidden="1"/>
    <cellStyle name="Hiperlink" xfId="165" builtinId="8" hidden="1"/>
    <cellStyle name="Hiperlink" xfId="157" builtinId="8" hidden="1"/>
    <cellStyle name="Hiperlink" xfId="149" builtinId="8" hidden="1"/>
    <cellStyle name="Hiperlink" xfId="133" builtinId="8" hidden="1"/>
    <cellStyle name="Hiperlink" xfId="141" builtinId="8" hidden="1"/>
    <cellStyle name="Hiperlink" xfId="189" builtinId="8" hidden="1"/>
    <cellStyle name="Hiperlink" xfId="181" builtinId="8" hidden="1"/>
    <cellStyle name="Hiperlink" xfId="197" builtinId="8" hidden="1"/>
    <cellStyle name="Hiperlink" xfId="191" builtinId="8" hidden="1"/>
    <cellStyle name="Hiperlink Visitado" xfId="18" builtinId="9" hidden="1"/>
    <cellStyle name="Hiperlink Visitado" xfId="30" builtinId="9" hidden="1"/>
    <cellStyle name="Hiperlink Visitado" xfId="22" builtinId="9" hidden="1"/>
    <cellStyle name="Hiperlink Visitado" xfId="88" builtinId="9" hidden="1"/>
    <cellStyle name="Hiperlink Visitado" xfId="70" builtinId="9" hidden="1"/>
    <cellStyle name="Hiperlink Visitado" xfId="60" builtinId="9" hidden="1"/>
    <cellStyle name="Hiperlink Visitado" xfId="50" builtinId="9" hidden="1"/>
    <cellStyle name="Hiperlink Visitado" xfId="116" builtinId="9" hidden="1"/>
    <cellStyle name="Hiperlink Visitado" xfId="148" builtinId="9" hidden="1"/>
    <cellStyle name="Hiperlink Visitado" xfId="180" builtinId="9" hidden="1"/>
    <cellStyle name="Hiperlink Visitado" xfId="142" builtinId="9" hidden="1"/>
    <cellStyle name="Hiperlink Visitado" xfId="144" builtinId="9" hidden="1"/>
    <cellStyle name="Hiperlink Visitado" xfId="146" builtinId="9" hidden="1"/>
    <cellStyle name="Hiperlink Visitado" xfId="154" builtinId="9" hidden="1"/>
    <cellStyle name="Hiperlink Visitado" xfId="158" builtinId="9" hidden="1"/>
    <cellStyle name="Hiperlink Visitado" xfId="160" builtinId="9" hidden="1"/>
    <cellStyle name="Hiperlink Visitado" xfId="166" builtinId="9" hidden="1"/>
    <cellStyle name="Hiperlink Visitado" xfId="168" builtinId="9" hidden="1"/>
    <cellStyle name="Hiperlink Visitado" xfId="170" builtinId="9" hidden="1"/>
    <cellStyle name="Hiperlink Visitado" xfId="178" builtinId="9" hidden="1"/>
    <cellStyle name="Hiperlink Visitado" xfId="182" builtinId="9" hidden="1"/>
    <cellStyle name="Hiperlink Visitado" xfId="184" builtinId="9" hidden="1"/>
    <cellStyle name="Hiperlink Visitado" xfId="190" builtinId="9" hidden="1"/>
    <cellStyle name="Hiperlink Visitado" xfId="192" builtinId="9" hidden="1"/>
    <cellStyle name="Hiperlink Visitado" xfId="198" builtinId="9" hidden="1"/>
    <cellStyle name="Hiperlink Visitado" xfId="194" builtinId="9" hidden="1"/>
    <cellStyle name="Hiperlink Visitado" xfId="174" builtinId="9" hidden="1"/>
    <cellStyle name="Hiperlink Visitado" xfId="152" builtinId="9" hidden="1"/>
    <cellStyle name="Hiperlink Visitado" xfId="114" builtinId="9" hidden="1"/>
    <cellStyle name="Hiperlink Visitado" xfId="118" builtinId="9" hidden="1"/>
    <cellStyle name="Hiperlink Visitado" xfId="120" builtinId="9" hidden="1"/>
    <cellStyle name="Hiperlink Visitado" xfId="126" builtinId="9" hidden="1"/>
    <cellStyle name="Hiperlink Visitado" xfId="128" builtinId="9" hidden="1"/>
    <cellStyle name="Hiperlink Visitado" xfId="134" builtinId="9" hidden="1"/>
    <cellStyle name="Hiperlink Visitado" xfId="130" builtinId="9" hidden="1"/>
    <cellStyle name="Hiperlink Visitado" xfId="102" builtinId="9" hidden="1"/>
    <cellStyle name="Hiperlink Visitado" xfId="104" builtinId="9" hidden="1"/>
    <cellStyle name="Hiperlink Visitado" xfId="110" builtinId="9" hidden="1"/>
    <cellStyle name="Hiperlink Visitado" xfId="96" builtinId="9" hidden="1"/>
    <cellStyle name="Hiperlink Visitado" xfId="98" builtinId="9" hidden="1"/>
    <cellStyle name="Hiperlink Visitado" xfId="90" builtinId="9" hidden="1"/>
    <cellStyle name="Hiperlink Visitado" xfId="94" builtinId="9" hidden="1"/>
    <cellStyle name="Hiperlink Visitado" xfId="106" builtinId="9" hidden="1"/>
    <cellStyle name="Hiperlink Visitado" xfId="136" builtinId="9" hidden="1"/>
    <cellStyle name="Hiperlink Visitado" xfId="122" builtinId="9" hidden="1"/>
    <cellStyle name="Hiperlink Visitado" xfId="112" builtinId="9" hidden="1"/>
    <cellStyle name="Hiperlink Visitado" xfId="196" builtinId="9" hidden="1"/>
    <cellStyle name="Hiperlink Visitado" xfId="186" builtinId="9" hidden="1"/>
    <cellStyle name="Hiperlink Visitado" xfId="176" builtinId="9" hidden="1"/>
    <cellStyle name="Hiperlink Visitado" xfId="162" builtinId="9" hidden="1"/>
    <cellStyle name="Hiperlink Visitado" xfId="150" builtinId="9" hidden="1"/>
    <cellStyle name="Hiperlink Visitado" xfId="138" builtinId="9" hidden="1"/>
    <cellStyle name="Hiperlink Visitado" xfId="42" builtinId="9" hidden="1"/>
    <cellStyle name="Hiperlink Visitado" xfId="78" builtinId="9" hidden="1"/>
    <cellStyle name="Hiperlink Visitado" xfId="40" builtinId="9" hidden="1"/>
    <cellStyle name="Hiperlink Visitado" xfId="66" builtinId="9" hidden="1"/>
    <cellStyle name="Hiperlink Visitado" xfId="72" builtinId="9" hidden="1"/>
    <cellStyle name="Hiperlink Visitado" xfId="74" builtinId="9" hidden="1"/>
    <cellStyle name="Hiperlink Visitado" xfId="76" builtinId="9" hidden="1"/>
    <cellStyle name="Hiperlink Visitado" xfId="80" builtinId="9" hidden="1"/>
    <cellStyle name="Hiperlink Visitado" xfId="86" builtinId="9" hidden="1"/>
    <cellStyle name="Hiperlink Visitado" xfId="84" builtinId="9" hidden="1"/>
    <cellStyle name="Hiperlink Visitado" xfId="68" builtinId="9" hidden="1"/>
    <cellStyle name="Hiperlink Visitado" xfId="52" builtinId="9" hidden="1"/>
    <cellStyle name="Hiperlink Visitado" xfId="24" builtinId="9" hidden="1"/>
    <cellStyle name="Hiperlink Visitado" xfId="26" builtinId="9" hidden="1"/>
    <cellStyle name="Hiperlink Visitado" xfId="28" builtinId="9" hidden="1"/>
    <cellStyle name="Hiperlink Visitado" xfId="34" builtinId="9" hidden="1"/>
    <cellStyle name="Hiperlink Visitado" xfId="38" builtinId="9" hidden="1"/>
    <cellStyle name="Hiperlink Visitado" xfId="36" builtinId="9" hidden="1"/>
    <cellStyle name="Hiperlink Visitado" xfId="14" builtinId="9" hidden="1"/>
    <cellStyle name="Hiperlink Visitado" xfId="16" builtinId="9" hidden="1"/>
    <cellStyle name="Hiperlink Visitado" xfId="20" builtinId="9" hidden="1"/>
    <cellStyle name="Hiperlink Visitado" xfId="10" builtinId="9" hidden="1"/>
    <cellStyle name="Hiperlink Visitado" xfId="6" builtinId="9" hidden="1"/>
    <cellStyle name="Hiperlink Visitado" xfId="8" builtinId="9" hidden="1"/>
    <cellStyle name="Hiperlink Visitado" xfId="12" builtinId="9" hidden="1"/>
    <cellStyle name="Hiperlink Visitado" xfId="32" builtinId="9" hidden="1"/>
    <cellStyle name="Hiperlink Visitado" xfId="82" builtinId="9" hidden="1"/>
    <cellStyle name="Hiperlink Visitado" xfId="100" builtinId="9" hidden="1"/>
    <cellStyle name="Hiperlink Visitado" xfId="92" builtinId="9" hidden="1"/>
    <cellStyle name="Hiperlink Visitado" xfId="44" builtinId="9" hidden="1"/>
    <cellStyle name="Hiperlink Visitado" xfId="46" builtinId="9" hidden="1"/>
    <cellStyle name="Hiperlink Visitado" xfId="48" builtinId="9" hidden="1"/>
    <cellStyle name="Hiperlink Visitado" xfId="54" builtinId="9" hidden="1"/>
    <cellStyle name="Hiperlink Visitado" xfId="56" builtinId="9" hidden="1"/>
    <cellStyle name="Hiperlink Visitado" xfId="62" builtinId="9" hidden="1"/>
    <cellStyle name="Hiperlink Visitado" xfId="64" builtinId="9" hidden="1"/>
    <cellStyle name="Hiperlink Visitado" xfId="58" builtinId="9" hidden="1"/>
    <cellStyle name="Hiperlink Visitado" xfId="140" builtinId="9" hidden="1"/>
    <cellStyle name="Hiperlink Visitado" xfId="132" builtinId="9" hidden="1"/>
    <cellStyle name="Hiperlink Visitado" xfId="124" builtinId="9" hidden="1"/>
    <cellStyle name="Hiperlink Visitado" xfId="108" builtinId="9" hidden="1"/>
    <cellStyle name="Hiperlink Visitado" xfId="164" builtinId="9" hidden="1"/>
    <cellStyle name="Hiperlink Visitado" xfId="156" builtinId="9" hidden="1"/>
    <cellStyle name="Hiperlink Visitado" xfId="172" builtinId="9" hidden="1"/>
    <cellStyle name="Hiperlink Visitado" xfId="188" builtinId="9" hidden="1"/>
    <cellStyle name="Normal" xfId="0" builtinId="0"/>
    <cellStyle name="Normal 2" xfId="207" xr:uid="{00000000-0005-0000-0000-0000C3000000}"/>
    <cellStyle name="Normal 3" xfId="208" xr:uid="{00000000-0005-0000-0000-0000C4000000}"/>
    <cellStyle name="Normal 5 2" xfId="200" xr:uid="{00000000-0005-0000-0000-0000C5000000}"/>
    <cellStyle name="Porcentagem" xfId="199" builtinId="5"/>
    <cellStyle name="Porcentagem 2" xfId="1" xr:uid="{00000000-0005-0000-0000-0000C7000000}"/>
    <cellStyle name="Porcentagem 3" xfId="2" xr:uid="{00000000-0005-0000-0000-0000C8000000}"/>
    <cellStyle name="Separador de milhares 2" xfId="3" xr:uid="{00000000-0005-0000-0000-0000C9000000}"/>
    <cellStyle name="Separador de milhares 2 2" xfId="201" xr:uid="{00000000-0005-0000-0000-0000CA000000}"/>
    <cellStyle name="Separador de milhares 2 2 2" xfId="205" xr:uid="{00000000-0005-0000-0000-0000CB000000}"/>
    <cellStyle name="Separador de milhares 2 3" xfId="203" xr:uid="{00000000-0005-0000-0000-0000CC000000}"/>
    <cellStyle name="Vírgula 2" xfId="4" xr:uid="{00000000-0005-0000-0000-0000CD000000}"/>
    <cellStyle name="Vírgula 2 2" xfId="202" xr:uid="{00000000-0005-0000-0000-0000CE000000}"/>
    <cellStyle name="Vírgula 2 2 2" xfId="206" xr:uid="{00000000-0005-0000-0000-0000CF000000}"/>
    <cellStyle name="Vírgula 2 3" xfId="204" xr:uid="{00000000-0005-0000-0000-0000D0000000}"/>
  </cellStyles>
  <dxfs count="2">
    <dxf>
      <font>
        <color rgb="FF00B050"/>
      </font>
      <fill>
        <patternFill>
          <bgColor theme="0"/>
        </patternFill>
      </fill>
    </dxf>
    <dxf>
      <font>
        <color rgb="FFFF5050"/>
      </font>
    </dxf>
  </dxfs>
  <tableStyles count="0" defaultTableStyle="TableStyleMedium9" defaultPivotStyle="PivotStyleLight16"/>
  <colors>
    <mruColors>
      <color rgb="FFEBF1DE"/>
      <color rgb="FFCAD9A7"/>
      <color rgb="FFFDE9D9"/>
      <color rgb="FFFF7D7D"/>
      <color rgb="FF009999"/>
      <color rgb="FF69BE28"/>
      <color rgb="FFC00000"/>
      <color rgb="FF008080"/>
      <color rgb="FFFF5050"/>
      <color rgb="FFEEB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638175</xdr:colOff>
      <xdr:row>1</xdr:row>
      <xdr:rowOff>9525</xdr:rowOff>
    </xdr:from>
    <xdr:to>
      <xdr:col>3</xdr:col>
      <xdr:colOff>531379</xdr:colOff>
      <xdr:row>2</xdr:row>
      <xdr:rowOff>106506</xdr:rowOff>
    </xdr:to>
    <xdr:pic>
      <xdr:nvPicPr>
        <xdr:cNvPr id="4" name="Imagem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38625" y="200025"/>
          <a:ext cx="864754" cy="2874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darlan.vitorino\AppData\Local\Microsoft\Windows\Temporary%2520Internet%2520Files\Content.Outlook\ETK1JQCP\Backup\LPT-TU\PRA\PRA%2520BRN_LPTTU_v.13.3_Junho%25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ESULTA\PROPOSTA\BDPRO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ROPOSTAS\WLL_NOKIA\MI_DIRETORIA\LPU_NAO%20USAD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lobalvale.sharepoint.com/sites/LPS-Timbopeba/Shared%20Documents/General/02.%20Plano%20de%20trabalho/01.%20LPS/04.%20Programa&#231;&#227;o%20Semanal/03.%20Alfa/CURTO%20PRAZO%20-%20PLANILHA%20PADR&#195;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Users\Dagmar\6%20-%20OUTRAS%20OBRAS\2%20-%20ESTUDO%20TRANSORDESTINA\21%20-%20CRONOGRAMA\CRONOGRAMA%20MVP-05%20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CONTROLE\APONTAMENTO%20FER\M&#227;o%20de%20Obra\201409\Users\marcio.bezerra\Desktop\apontamento%20marcio%200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fabiana.mattos\AppData\Local\Microsoft\Windows\Temporary%2520Internet%2520Files\Content.Outlook\BLPNHOS4\Apontamento%2520de%2520M&#227;o%2520de%2520Obra%2520marcio%252001_a_26%2520Ja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ao"/>
      <sheetName val="Help"/>
      <sheetName val="Suporte"/>
      <sheetName val="Explicação1"/>
      <sheetName val="Relatorio"/>
      <sheetName val="RENTA"/>
      <sheetName val="Cálculo"/>
      <sheetName val="Considerações_PRA"/>
      <sheetName val="Cenários"/>
      <sheetName val="Verificador"/>
      <sheetName val="CP"/>
      <sheetName val="DP"/>
      <sheetName val="OESP"/>
      <sheetName val="CTRL"/>
      <sheetName val="DO"/>
      <sheetName val="CR"/>
      <sheetName val="ACUM"/>
      <sheetName val="FC"/>
      <sheetName val="PE"/>
      <sheetName val="EVA"/>
      <sheetName val="ECONO"/>
      <sheetName val="FINAN"/>
      <sheetName val="ANUAL"/>
      <sheetName val="COMPARA"/>
      <sheetName val="ANALISE"/>
      <sheetName val="PM"/>
      <sheetName val="Consistênc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EMP AN"/>
      <sheetName val="DESEMP COM NE"/>
      <sheetName val="DESEMP COM SE"/>
      <sheetName val="DESEMP COM SL"/>
      <sheetName val="DESEMP COM TC"/>
      <sheetName val="DADOS"/>
      <sheetName val="Contratações"/>
      <sheetName val="PROP ELAB GANH"/>
      <sheetName val="PARETOS"/>
      <sheetName val="FAIXA PROPOSTAS"/>
      <sheetName val="DER janeiro98"/>
      <sheetName val="REAJUSTE"/>
      <sheetName val="BDPROP"/>
      <sheetName val="Projeções BRGAAP"/>
      <sheetName val="Preços_BSTC"/>
      <sheetName val="#REF"/>
      <sheetName val="Plan1"/>
      <sheetName val="RP-1 SB (3)"/>
      <sheetName val="hold model"/>
      <sheetName val="Anual"/>
      <sheetName val="Feriados"/>
      <sheetName val="indice precos mes"/>
      <sheetName val="DESEMP_AN"/>
      <sheetName val="DESEMP_COM_NE"/>
      <sheetName val="DESEMP_COM_SE"/>
      <sheetName val="DESEMP_COM_SL"/>
      <sheetName val="DESEMP_COM_TC"/>
      <sheetName val="PROP_ELAB_GANH"/>
      <sheetName val="FAIXA_PROPOSTAS"/>
      <sheetName val="DER_janeiro98"/>
      <sheetName val="mob-2.11"/>
      <sheetName val="fec-2.12"/>
      <sheetName val="eaigesen"/>
      <sheetName val="aux"/>
      <sheetName val="1.6"/>
      <sheetName val="samarco"/>
      <sheetName val="relatório"/>
      <sheetName val="cp terraplenagem"/>
      <sheetName val="est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
      <sheetName val="ECA"/>
      <sheetName val="HID"/>
      <sheetName val="VIA"/>
      <sheetName val="RMT"/>
      <sheetName val="ALA"/>
      <sheetName val="ARC"/>
      <sheetName val="ECC"/>
      <sheetName val="SUP"/>
      <sheetName val="TOR"/>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cipal"/>
      <sheetName val="Plan.Padrão - NÃO EDITAR!"/>
      <sheetName val="Armaz.Dados"/>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OSIÇÕES"/>
      <sheetName val="Resumo Insumos não val"/>
      <sheetName val="Composições Auxiliares"/>
      <sheetName val="Composição Auxiliares"/>
      <sheetName val="MO"/>
      <sheetName val="EQUIPAMENTO"/>
      <sheetName val="C H EQUIP"/>
      <sheetName val="MATERIAL"/>
      <sheetName val="PLANILHA RESUMO"/>
      <sheetName val="ENCARGOS SOCIAIS"/>
      <sheetName val="TODO TRECHO"/>
      <sheetName val="MVP-05"/>
      <sheetName val="MVP-06"/>
      <sheetName val="CRONOGRAMA DE SERVIÇOS"/>
      <sheetName val="dias"/>
      <sheetName val="Histograma Terraplenagem"/>
    </sheetNames>
    <sheetDataSet>
      <sheetData sheetId="0"/>
      <sheetData sheetId="1"/>
      <sheetData sheetId="2" refreshError="1"/>
      <sheetData sheetId="3"/>
      <sheetData sheetId="4"/>
      <sheetData sheetId="5"/>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
      <sheetName val="Apropriação Mão de Obra"/>
      <sheetName val="Relatorio SAPO"/>
      <sheetName val="Conf."/>
      <sheetName val="Folha de pagamento"/>
      <sheetName val="conferir relatorio de apontamen"/>
      <sheetName val="CADASTRO"/>
      <sheetName val="Apropriação_Mão_de_Obra"/>
      <sheetName val="Relatorio_SAPO"/>
      <sheetName val="Conf_"/>
      <sheetName val="Folha_de_pagamento"/>
      <sheetName val="conferir_relatorio_de_apontamen"/>
      <sheetName val="Leyenda"/>
    </sheetNames>
    <sheetDataSet>
      <sheetData sheetId="0"/>
      <sheetData sheetId="1" refreshError="1"/>
      <sheetData sheetId="2" refreshError="1"/>
      <sheetData sheetId="3" refreshError="1"/>
      <sheetData sheetId="4"/>
      <sheetData sheetId="5" refreshError="1"/>
      <sheetData sheetId="6" refreshError="1"/>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ÓRIO DIÁRIO DE PERDA"/>
      <sheetName val="Conf."/>
      <sheetName val="CALENDARIO"/>
      <sheetName val="Apropriação Mão de Obra"/>
      <sheetName val="PLANO PESSOAL"/>
      <sheetName val="CADASTRO"/>
      <sheetName val="Relatorio SAPO"/>
      <sheetName val="FOLHA"/>
      <sheetName val="CENTRODECUSTO"/>
      <sheetName val="CC"/>
      <sheetName val="Plan2"/>
      <sheetName val="Plan3"/>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3">
    <tabColor rgb="FF00B0F0"/>
  </sheetPr>
  <dimension ref="A2:D196"/>
  <sheetViews>
    <sheetView workbookViewId="0">
      <selection activeCell="C7" sqref="C7"/>
    </sheetView>
  </sheetViews>
  <sheetFormatPr defaultColWidth="9.109375" defaultRowHeight="14.4" x14ac:dyDescent="0.3"/>
  <cols>
    <col min="1" max="1" width="39.44140625" style="2" customWidth="1"/>
    <col min="2" max="4" width="14.5546875" style="2" customWidth="1"/>
    <col min="5" max="16384" width="9.109375" style="3"/>
  </cols>
  <sheetData>
    <row r="2" spans="1:4" x14ac:dyDescent="0.3">
      <c r="A2" s="1" t="s">
        <v>0</v>
      </c>
      <c r="B2" s="9">
        <v>5500071140</v>
      </c>
    </row>
    <row r="3" spans="1:4" x14ac:dyDescent="0.3">
      <c r="A3" s="1" t="s">
        <v>1</v>
      </c>
      <c r="B3" s="10">
        <v>44013</v>
      </c>
    </row>
    <row r="4" spans="1:4" x14ac:dyDescent="0.3">
      <c r="A4" s="1" t="s">
        <v>2</v>
      </c>
      <c r="B4" s="10">
        <v>44915</v>
      </c>
    </row>
    <row r="5" spans="1:4" x14ac:dyDescent="0.3">
      <c r="B5" s="4"/>
    </row>
    <row r="6" spans="1:4" x14ac:dyDescent="0.3">
      <c r="A6" s="3"/>
      <c r="B6" s="5" t="s">
        <v>3</v>
      </c>
      <c r="C6" s="5" t="s">
        <v>4</v>
      </c>
      <c r="D6" s="5" t="s">
        <v>5</v>
      </c>
    </row>
    <row r="7" spans="1:4" ht="28.8" x14ac:dyDescent="0.3">
      <c r="A7" s="25" t="s">
        <v>6</v>
      </c>
      <c r="B7" s="11">
        <v>44745</v>
      </c>
      <c r="C7" s="23">
        <f>B7+6</f>
        <v>44751</v>
      </c>
      <c r="D7" s="24">
        <v>1</v>
      </c>
    </row>
    <row r="8" spans="1:4" x14ac:dyDescent="0.3">
      <c r="A8" s="3"/>
      <c r="B8" s="23">
        <f t="shared" ref="B8:B71" si="0">B7+7</f>
        <v>44752</v>
      </c>
      <c r="C8" s="23">
        <f t="shared" ref="C8:C71" si="1">C7+7</f>
        <v>44758</v>
      </c>
      <c r="D8" s="24">
        <f t="shared" ref="D8:D71" si="2">D7+1</f>
        <v>2</v>
      </c>
    </row>
    <row r="9" spans="1:4" x14ac:dyDescent="0.3">
      <c r="A9" s="3"/>
      <c r="B9" s="23">
        <f t="shared" si="0"/>
        <v>44759</v>
      </c>
      <c r="C9" s="23">
        <f t="shared" si="1"/>
        <v>44765</v>
      </c>
      <c r="D9" s="24">
        <f t="shared" si="2"/>
        <v>3</v>
      </c>
    </row>
    <row r="10" spans="1:4" x14ac:dyDescent="0.3">
      <c r="A10" s="3"/>
      <c r="B10" s="23">
        <f t="shared" si="0"/>
        <v>44766</v>
      </c>
      <c r="C10" s="23">
        <f t="shared" si="1"/>
        <v>44772</v>
      </c>
      <c r="D10" s="24">
        <f t="shared" si="2"/>
        <v>4</v>
      </c>
    </row>
    <row r="11" spans="1:4" x14ac:dyDescent="0.3">
      <c r="A11" s="3"/>
      <c r="B11" s="23">
        <f t="shared" si="0"/>
        <v>44773</v>
      </c>
      <c r="C11" s="23">
        <f t="shared" si="1"/>
        <v>44779</v>
      </c>
      <c r="D11" s="24">
        <f t="shared" si="2"/>
        <v>5</v>
      </c>
    </row>
    <row r="12" spans="1:4" x14ac:dyDescent="0.3">
      <c r="A12" s="3"/>
      <c r="B12" s="23">
        <f t="shared" si="0"/>
        <v>44780</v>
      </c>
      <c r="C12" s="23">
        <f t="shared" si="1"/>
        <v>44786</v>
      </c>
      <c r="D12" s="24">
        <f t="shared" si="2"/>
        <v>6</v>
      </c>
    </row>
    <row r="13" spans="1:4" x14ac:dyDescent="0.3">
      <c r="A13" s="3"/>
      <c r="B13" s="23">
        <f t="shared" si="0"/>
        <v>44787</v>
      </c>
      <c r="C13" s="23">
        <f t="shared" si="1"/>
        <v>44793</v>
      </c>
      <c r="D13" s="24">
        <f t="shared" si="2"/>
        <v>7</v>
      </c>
    </row>
    <row r="14" spans="1:4" x14ac:dyDescent="0.3">
      <c r="A14" s="3"/>
      <c r="B14" s="23">
        <f t="shared" si="0"/>
        <v>44794</v>
      </c>
      <c r="C14" s="23">
        <f t="shared" si="1"/>
        <v>44800</v>
      </c>
      <c r="D14" s="24">
        <f t="shared" si="2"/>
        <v>8</v>
      </c>
    </row>
    <row r="15" spans="1:4" x14ac:dyDescent="0.3">
      <c r="A15" s="3"/>
      <c r="B15" s="23">
        <f t="shared" si="0"/>
        <v>44801</v>
      </c>
      <c r="C15" s="23">
        <f t="shared" si="1"/>
        <v>44807</v>
      </c>
      <c r="D15" s="24">
        <f t="shared" si="2"/>
        <v>9</v>
      </c>
    </row>
    <row r="16" spans="1:4" x14ac:dyDescent="0.3">
      <c r="A16" s="3"/>
      <c r="B16" s="23">
        <f t="shared" si="0"/>
        <v>44808</v>
      </c>
      <c r="C16" s="23">
        <f t="shared" si="1"/>
        <v>44814</v>
      </c>
      <c r="D16" s="24">
        <f t="shared" si="2"/>
        <v>10</v>
      </c>
    </row>
    <row r="17" spans="1:4" x14ac:dyDescent="0.3">
      <c r="A17" s="3"/>
      <c r="B17" s="23">
        <f t="shared" si="0"/>
        <v>44815</v>
      </c>
      <c r="C17" s="23">
        <f t="shared" si="1"/>
        <v>44821</v>
      </c>
      <c r="D17" s="24">
        <f t="shared" si="2"/>
        <v>11</v>
      </c>
    </row>
    <row r="18" spans="1:4" x14ac:dyDescent="0.3">
      <c r="A18" s="3"/>
      <c r="B18" s="23">
        <f t="shared" si="0"/>
        <v>44822</v>
      </c>
      <c r="C18" s="23">
        <f t="shared" si="1"/>
        <v>44828</v>
      </c>
      <c r="D18" s="24">
        <f t="shared" si="2"/>
        <v>12</v>
      </c>
    </row>
    <row r="19" spans="1:4" x14ac:dyDescent="0.3">
      <c r="A19" s="3"/>
      <c r="B19" s="23">
        <f t="shared" si="0"/>
        <v>44829</v>
      </c>
      <c r="C19" s="23">
        <f t="shared" si="1"/>
        <v>44835</v>
      </c>
      <c r="D19" s="24">
        <f t="shared" si="2"/>
        <v>13</v>
      </c>
    </row>
    <row r="20" spans="1:4" x14ac:dyDescent="0.3">
      <c r="A20" s="3"/>
      <c r="B20" s="23">
        <f t="shared" si="0"/>
        <v>44836</v>
      </c>
      <c r="C20" s="23">
        <f t="shared" si="1"/>
        <v>44842</v>
      </c>
      <c r="D20" s="24">
        <f t="shared" si="2"/>
        <v>14</v>
      </c>
    </row>
    <row r="21" spans="1:4" x14ac:dyDescent="0.3">
      <c r="A21" s="3"/>
      <c r="B21" s="23">
        <f t="shared" si="0"/>
        <v>44843</v>
      </c>
      <c r="C21" s="23">
        <f t="shared" si="1"/>
        <v>44849</v>
      </c>
      <c r="D21" s="24">
        <f t="shared" si="2"/>
        <v>15</v>
      </c>
    </row>
    <row r="22" spans="1:4" x14ac:dyDescent="0.3">
      <c r="A22" s="3"/>
      <c r="B22" s="23">
        <f t="shared" si="0"/>
        <v>44850</v>
      </c>
      <c r="C22" s="23">
        <f t="shared" si="1"/>
        <v>44856</v>
      </c>
      <c r="D22" s="24">
        <f t="shared" si="2"/>
        <v>16</v>
      </c>
    </row>
    <row r="23" spans="1:4" x14ac:dyDescent="0.3">
      <c r="A23" s="3"/>
      <c r="B23" s="23">
        <f t="shared" si="0"/>
        <v>44857</v>
      </c>
      <c r="C23" s="23">
        <f t="shared" si="1"/>
        <v>44863</v>
      </c>
      <c r="D23" s="24">
        <f t="shared" si="2"/>
        <v>17</v>
      </c>
    </row>
    <row r="24" spans="1:4" x14ac:dyDescent="0.3">
      <c r="A24" s="3"/>
      <c r="B24" s="23">
        <f t="shared" si="0"/>
        <v>44864</v>
      </c>
      <c r="C24" s="23">
        <f t="shared" si="1"/>
        <v>44870</v>
      </c>
      <c r="D24" s="24">
        <f t="shared" si="2"/>
        <v>18</v>
      </c>
    </row>
    <row r="25" spans="1:4" x14ac:dyDescent="0.3">
      <c r="A25" s="3"/>
      <c r="B25" s="23">
        <f t="shared" si="0"/>
        <v>44871</v>
      </c>
      <c r="C25" s="23">
        <f t="shared" si="1"/>
        <v>44877</v>
      </c>
      <c r="D25" s="24">
        <f t="shared" si="2"/>
        <v>19</v>
      </c>
    </row>
    <row r="26" spans="1:4" x14ac:dyDescent="0.3">
      <c r="A26" s="3"/>
      <c r="B26" s="23">
        <f t="shared" si="0"/>
        <v>44878</v>
      </c>
      <c r="C26" s="23">
        <f t="shared" si="1"/>
        <v>44884</v>
      </c>
      <c r="D26" s="24">
        <f t="shared" si="2"/>
        <v>20</v>
      </c>
    </row>
    <row r="27" spans="1:4" x14ac:dyDescent="0.3">
      <c r="A27" s="3"/>
      <c r="B27" s="23">
        <f t="shared" si="0"/>
        <v>44885</v>
      </c>
      <c r="C27" s="23">
        <f t="shared" si="1"/>
        <v>44891</v>
      </c>
      <c r="D27" s="24">
        <f t="shared" si="2"/>
        <v>21</v>
      </c>
    </row>
    <row r="28" spans="1:4" x14ac:dyDescent="0.3">
      <c r="A28" s="3"/>
      <c r="B28" s="23">
        <f t="shared" si="0"/>
        <v>44892</v>
      </c>
      <c r="C28" s="23">
        <f t="shared" si="1"/>
        <v>44898</v>
      </c>
      <c r="D28" s="24">
        <f t="shared" si="2"/>
        <v>22</v>
      </c>
    </row>
    <row r="29" spans="1:4" x14ac:dyDescent="0.3">
      <c r="A29" s="3"/>
      <c r="B29" s="23">
        <f t="shared" si="0"/>
        <v>44899</v>
      </c>
      <c r="C29" s="23">
        <f t="shared" si="1"/>
        <v>44905</v>
      </c>
      <c r="D29" s="24">
        <f t="shared" si="2"/>
        <v>23</v>
      </c>
    </row>
    <row r="30" spans="1:4" x14ac:dyDescent="0.3">
      <c r="A30" s="3"/>
      <c r="B30" s="23">
        <f t="shared" si="0"/>
        <v>44906</v>
      </c>
      <c r="C30" s="23">
        <f t="shared" si="1"/>
        <v>44912</v>
      </c>
      <c r="D30" s="24">
        <f t="shared" si="2"/>
        <v>24</v>
      </c>
    </row>
    <row r="31" spans="1:4" x14ac:dyDescent="0.3">
      <c r="A31" s="3"/>
      <c r="B31" s="23">
        <f t="shared" si="0"/>
        <v>44913</v>
      </c>
      <c r="C31" s="23">
        <f t="shared" si="1"/>
        <v>44919</v>
      </c>
      <c r="D31" s="24">
        <f t="shared" si="2"/>
        <v>25</v>
      </c>
    </row>
    <row r="32" spans="1:4" x14ac:dyDescent="0.3">
      <c r="A32" s="3"/>
      <c r="B32" s="23">
        <f t="shared" si="0"/>
        <v>44920</v>
      </c>
      <c r="C32" s="23">
        <f t="shared" si="1"/>
        <v>44926</v>
      </c>
      <c r="D32" s="24">
        <f t="shared" si="2"/>
        <v>26</v>
      </c>
    </row>
    <row r="33" spans="1:4" x14ac:dyDescent="0.3">
      <c r="A33" s="3"/>
      <c r="B33" s="23">
        <f t="shared" si="0"/>
        <v>44927</v>
      </c>
      <c r="C33" s="23">
        <f t="shared" si="1"/>
        <v>44933</v>
      </c>
      <c r="D33" s="24">
        <f t="shared" si="2"/>
        <v>27</v>
      </c>
    </row>
    <row r="34" spans="1:4" x14ac:dyDescent="0.3">
      <c r="A34" s="3"/>
      <c r="B34" s="23">
        <f t="shared" si="0"/>
        <v>44934</v>
      </c>
      <c r="C34" s="23">
        <f t="shared" si="1"/>
        <v>44940</v>
      </c>
      <c r="D34" s="24">
        <f t="shared" si="2"/>
        <v>28</v>
      </c>
    </row>
    <row r="35" spans="1:4" x14ac:dyDescent="0.3">
      <c r="A35" s="3"/>
      <c r="B35" s="23">
        <f t="shared" si="0"/>
        <v>44941</v>
      </c>
      <c r="C35" s="23">
        <f t="shared" si="1"/>
        <v>44947</v>
      </c>
      <c r="D35" s="24">
        <f t="shared" si="2"/>
        <v>29</v>
      </c>
    </row>
    <row r="36" spans="1:4" x14ac:dyDescent="0.3">
      <c r="A36" s="3"/>
      <c r="B36" s="23">
        <f t="shared" si="0"/>
        <v>44948</v>
      </c>
      <c r="C36" s="23">
        <f t="shared" si="1"/>
        <v>44954</v>
      </c>
      <c r="D36" s="24">
        <f t="shared" si="2"/>
        <v>30</v>
      </c>
    </row>
    <row r="37" spans="1:4" x14ac:dyDescent="0.3">
      <c r="A37" s="3"/>
      <c r="B37" s="23">
        <f t="shared" si="0"/>
        <v>44955</v>
      </c>
      <c r="C37" s="23">
        <f t="shared" si="1"/>
        <v>44961</v>
      </c>
      <c r="D37" s="24">
        <f t="shared" si="2"/>
        <v>31</v>
      </c>
    </row>
    <row r="38" spans="1:4" x14ac:dyDescent="0.3">
      <c r="A38" s="3"/>
      <c r="B38" s="23">
        <f t="shared" si="0"/>
        <v>44962</v>
      </c>
      <c r="C38" s="23">
        <f t="shared" si="1"/>
        <v>44968</v>
      </c>
      <c r="D38" s="24">
        <f t="shared" si="2"/>
        <v>32</v>
      </c>
    </row>
    <row r="39" spans="1:4" x14ac:dyDescent="0.3">
      <c r="A39" s="3"/>
      <c r="B39" s="23">
        <f t="shared" si="0"/>
        <v>44969</v>
      </c>
      <c r="C39" s="23">
        <f t="shared" si="1"/>
        <v>44975</v>
      </c>
      <c r="D39" s="24">
        <f t="shared" si="2"/>
        <v>33</v>
      </c>
    </row>
    <row r="40" spans="1:4" x14ac:dyDescent="0.3">
      <c r="A40" s="3"/>
      <c r="B40" s="23">
        <f t="shared" si="0"/>
        <v>44976</v>
      </c>
      <c r="C40" s="23">
        <f t="shared" si="1"/>
        <v>44982</v>
      </c>
      <c r="D40" s="24">
        <f t="shared" si="2"/>
        <v>34</v>
      </c>
    </row>
    <row r="41" spans="1:4" x14ac:dyDescent="0.3">
      <c r="A41" s="3"/>
      <c r="B41" s="23">
        <f t="shared" si="0"/>
        <v>44983</v>
      </c>
      <c r="C41" s="23">
        <f t="shared" si="1"/>
        <v>44989</v>
      </c>
      <c r="D41" s="24">
        <f t="shared" si="2"/>
        <v>35</v>
      </c>
    </row>
    <row r="42" spans="1:4" x14ac:dyDescent="0.3">
      <c r="A42" s="3"/>
      <c r="B42" s="23">
        <f t="shared" si="0"/>
        <v>44990</v>
      </c>
      <c r="C42" s="23">
        <f t="shared" si="1"/>
        <v>44996</v>
      </c>
      <c r="D42" s="24">
        <f t="shared" si="2"/>
        <v>36</v>
      </c>
    </row>
    <row r="43" spans="1:4" x14ac:dyDescent="0.3">
      <c r="A43" s="3"/>
      <c r="B43" s="23">
        <f t="shared" si="0"/>
        <v>44997</v>
      </c>
      <c r="C43" s="23">
        <f t="shared" si="1"/>
        <v>45003</v>
      </c>
      <c r="D43" s="24">
        <f t="shared" si="2"/>
        <v>37</v>
      </c>
    </row>
    <row r="44" spans="1:4" x14ac:dyDescent="0.3">
      <c r="B44" s="23">
        <f t="shared" si="0"/>
        <v>45004</v>
      </c>
      <c r="C44" s="23">
        <f t="shared" si="1"/>
        <v>45010</v>
      </c>
      <c r="D44" s="24">
        <f t="shared" si="2"/>
        <v>38</v>
      </c>
    </row>
    <row r="45" spans="1:4" x14ac:dyDescent="0.3">
      <c r="B45" s="23">
        <f t="shared" si="0"/>
        <v>45011</v>
      </c>
      <c r="C45" s="23">
        <f t="shared" si="1"/>
        <v>45017</v>
      </c>
      <c r="D45" s="24">
        <f t="shared" si="2"/>
        <v>39</v>
      </c>
    </row>
    <row r="46" spans="1:4" x14ac:dyDescent="0.3">
      <c r="B46" s="23">
        <f t="shared" si="0"/>
        <v>45018</v>
      </c>
      <c r="C46" s="23">
        <f t="shared" si="1"/>
        <v>45024</v>
      </c>
      <c r="D46" s="24">
        <f t="shared" si="2"/>
        <v>40</v>
      </c>
    </row>
    <row r="47" spans="1:4" x14ac:dyDescent="0.3">
      <c r="B47" s="23">
        <f t="shared" si="0"/>
        <v>45025</v>
      </c>
      <c r="C47" s="23">
        <f t="shared" si="1"/>
        <v>45031</v>
      </c>
      <c r="D47" s="24">
        <f t="shared" si="2"/>
        <v>41</v>
      </c>
    </row>
    <row r="48" spans="1:4" x14ac:dyDescent="0.3">
      <c r="B48" s="23">
        <f t="shared" si="0"/>
        <v>45032</v>
      </c>
      <c r="C48" s="23">
        <f t="shared" si="1"/>
        <v>45038</v>
      </c>
      <c r="D48" s="24">
        <f t="shared" si="2"/>
        <v>42</v>
      </c>
    </row>
    <row r="49" spans="2:4" x14ac:dyDescent="0.3">
      <c r="B49" s="23">
        <f t="shared" si="0"/>
        <v>45039</v>
      </c>
      <c r="C49" s="23">
        <f t="shared" si="1"/>
        <v>45045</v>
      </c>
      <c r="D49" s="24">
        <f t="shared" si="2"/>
        <v>43</v>
      </c>
    </row>
    <row r="50" spans="2:4" x14ac:dyDescent="0.3">
      <c r="B50" s="23">
        <f t="shared" si="0"/>
        <v>45046</v>
      </c>
      <c r="C50" s="23">
        <f t="shared" si="1"/>
        <v>45052</v>
      </c>
      <c r="D50" s="24">
        <f t="shared" si="2"/>
        <v>44</v>
      </c>
    </row>
    <row r="51" spans="2:4" x14ac:dyDescent="0.3">
      <c r="B51" s="23">
        <f t="shared" si="0"/>
        <v>45053</v>
      </c>
      <c r="C51" s="23">
        <f t="shared" si="1"/>
        <v>45059</v>
      </c>
      <c r="D51" s="24">
        <f t="shared" si="2"/>
        <v>45</v>
      </c>
    </row>
    <row r="52" spans="2:4" x14ac:dyDescent="0.3">
      <c r="B52" s="23">
        <f t="shared" si="0"/>
        <v>45060</v>
      </c>
      <c r="C52" s="23">
        <f t="shared" si="1"/>
        <v>45066</v>
      </c>
      <c r="D52" s="24">
        <f t="shared" si="2"/>
        <v>46</v>
      </c>
    </row>
    <row r="53" spans="2:4" x14ac:dyDescent="0.3">
      <c r="B53" s="23">
        <f t="shared" si="0"/>
        <v>45067</v>
      </c>
      <c r="C53" s="23">
        <f t="shared" si="1"/>
        <v>45073</v>
      </c>
      <c r="D53" s="24">
        <f t="shared" si="2"/>
        <v>47</v>
      </c>
    </row>
    <row r="54" spans="2:4" x14ac:dyDescent="0.3">
      <c r="B54" s="23">
        <f t="shared" si="0"/>
        <v>45074</v>
      </c>
      <c r="C54" s="23">
        <f t="shared" si="1"/>
        <v>45080</v>
      </c>
      <c r="D54" s="24">
        <f t="shared" si="2"/>
        <v>48</v>
      </c>
    </row>
    <row r="55" spans="2:4" x14ac:dyDescent="0.3">
      <c r="B55" s="23">
        <f t="shared" si="0"/>
        <v>45081</v>
      </c>
      <c r="C55" s="23">
        <f t="shared" si="1"/>
        <v>45087</v>
      </c>
      <c r="D55" s="24">
        <f t="shared" si="2"/>
        <v>49</v>
      </c>
    </row>
    <row r="56" spans="2:4" x14ac:dyDescent="0.3">
      <c r="B56" s="23">
        <f t="shared" si="0"/>
        <v>45088</v>
      </c>
      <c r="C56" s="23">
        <f t="shared" si="1"/>
        <v>45094</v>
      </c>
      <c r="D56" s="24">
        <f t="shared" si="2"/>
        <v>50</v>
      </c>
    </row>
    <row r="57" spans="2:4" x14ac:dyDescent="0.3">
      <c r="B57" s="23">
        <f t="shared" si="0"/>
        <v>45095</v>
      </c>
      <c r="C57" s="23">
        <f t="shared" si="1"/>
        <v>45101</v>
      </c>
      <c r="D57" s="24">
        <f t="shared" si="2"/>
        <v>51</v>
      </c>
    </row>
    <row r="58" spans="2:4" x14ac:dyDescent="0.3">
      <c r="B58" s="23">
        <f t="shared" si="0"/>
        <v>45102</v>
      </c>
      <c r="C58" s="23">
        <f t="shared" si="1"/>
        <v>45108</v>
      </c>
      <c r="D58" s="24">
        <f t="shared" si="2"/>
        <v>52</v>
      </c>
    </row>
    <row r="59" spans="2:4" x14ac:dyDescent="0.3">
      <c r="B59" s="23">
        <f t="shared" si="0"/>
        <v>45109</v>
      </c>
      <c r="C59" s="23">
        <f t="shared" si="1"/>
        <v>45115</v>
      </c>
      <c r="D59" s="24">
        <f t="shared" si="2"/>
        <v>53</v>
      </c>
    </row>
    <row r="60" spans="2:4" x14ac:dyDescent="0.3">
      <c r="B60" s="23">
        <f t="shared" si="0"/>
        <v>45116</v>
      </c>
      <c r="C60" s="23">
        <f t="shared" si="1"/>
        <v>45122</v>
      </c>
      <c r="D60" s="24">
        <f t="shared" si="2"/>
        <v>54</v>
      </c>
    </row>
    <row r="61" spans="2:4" x14ac:dyDescent="0.3">
      <c r="B61" s="23">
        <f t="shared" si="0"/>
        <v>45123</v>
      </c>
      <c r="C61" s="23">
        <f t="shared" si="1"/>
        <v>45129</v>
      </c>
      <c r="D61" s="24">
        <f t="shared" si="2"/>
        <v>55</v>
      </c>
    </row>
    <row r="62" spans="2:4" x14ac:dyDescent="0.3">
      <c r="B62" s="23">
        <f t="shared" si="0"/>
        <v>45130</v>
      </c>
      <c r="C62" s="23">
        <f t="shared" si="1"/>
        <v>45136</v>
      </c>
      <c r="D62" s="24">
        <f t="shared" si="2"/>
        <v>56</v>
      </c>
    </row>
    <row r="63" spans="2:4" x14ac:dyDescent="0.3">
      <c r="B63" s="23">
        <f t="shared" si="0"/>
        <v>45137</v>
      </c>
      <c r="C63" s="23">
        <f t="shared" si="1"/>
        <v>45143</v>
      </c>
      <c r="D63" s="24">
        <f t="shared" si="2"/>
        <v>57</v>
      </c>
    </row>
    <row r="64" spans="2:4" x14ac:dyDescent="0.3">
      <c r="B64" s="23">
        <f t="shared" si="0"/>
        <v>45144</v>
      </c>
      <c r="C64" s="23">
        <f t="shared" si="1"/>
        <v>45150</v>
      </c>
      <c r="D64" s="24">
        <f t="shared" si="2"/>
        <v>58</v>
      </c>
    </row>
    <row r="65" spans="2:4" x14ac:dyDescent="0.3">
      <c r="B65" s="23">
        <f t="shared" si="0"/>
        <v>45151</v>
      </c>
      <c r="C65" s="23">
        <f t="shared" si="1"/>
        <v>45157</v>
      </c>
      <c r="D65" s="24">
        <f t="shared" si="2"/>
        <v>59</v>
      </c>
    </row>
    <row r="66" spans="2:4" x14ac:dyDescent="0.3">
      <c r="B66" s="23">
        <f t="shared" si="0"/>
        <v>45158</v>
      </c>
      <c r="C66" s="23">
        <f t="shared" si="1"/>
        <v>45164</v>
      </c>
      <c r="D66" s="24">
        <f t="shared" si="2"/>
        <v>60</v>
      </c>
    </row>
    <row r="67" spans="2:4" x14ac:dyDescent="0.3">
      <c r="B67" s="23">
        <f t="shared" si="0"/>
        <v>45165</v>
      </c>
      <c r="C67" s="23">
        <f t="shared" si="1"/>
        <v>45171</v>
      </c>
      <c r="D67" s="24">
        <f t="shared" si="2"/>
        <v>61</v>
      </c>
    </row>
    <row r="68" spans="2:4" x14ac:dyDescent="0.3">
      <c r="B68" s="23">
        <f t="shared" si="0"/>
        <v>45172</v>
      </c>
      <c r="C68" s="23">
        <f t="shared" si="1"/>
        <v>45178</v>
      </c>
      <c r="D68" s="24">
        <f t="shared" si="2"/>
        <v>62</v>
      </c>
    </row>
    <row r="69" spans="2:4" x14ac:dyDescent="0.3">
      <c r="B69" s="23">
        <f t="shared" si="0"/>
        <v>45179</v>
      </c>
      <c r="C69" s="23">
        <f t="shared" si="1"/>
        <v>45185</v>
      </c>
      <c r="D69" s="24">
        <f t="shared" si="2"/>
        <v>63</v>
      </c>
    </row>
    <row r="70" spans="2:4" x14ac:dyDescent="0.3">
      <c r="B70" s="23">
        <f t="shared" si="0"/>
        <v>45186</v>
      </c>
      <c r="C70" s="23">
        <f t="shared" si="1"/>
        <v>45192</v>
      </c>
      <c r="D70" s="24">
        <f t="shared" si="2"/>
        <v>64</v>
      </c>
    </row>
    <row r="71" spans="2:4" x14ac:dyDescent="0.3">
      <c r="B71" s="23">
        <f t="shared" si="0"/>
        <v>45193</v>
      </c>
      <c r="C71" s="23">
        <f t="shared" si="1"/>
        <v>45199</v>
      </c>
      <c r="D71" s="24">
        <f t="shared" si="2"/>
        <v>65</v>
      </c>
    </row>
    <row r="72" spans="2:4" x14ac:dyDescent="0.3">
      <c r="B72" s="23">
        <f t="shared" ref="B72:C87" si="3">B71+7</f>
        <v>45200</v>
      </c>
      <c r="C72" s="23">
        <f t="shared" si="3"/>
        <v>45206</v>
      </c>
      <c r="D72" s="24">
        <f t="shared" ref="D72:D135" si="4">D71+1</f>
        <v>66</v>
      </c>
    </row>
    <row r="73" spans="2:4" x14ac:dyDescent="0.3">
      <c r="B73" s="23">
        <f t="shared" si="3"/>
        <v>45207</v>
      </c>
      <c r="C73" s="23">
        <f t="shared" si="3"/>
        <v>45213</v>
      </c>
      <c r="D73" s="24">
        <f t="shared" si="4"/>
        <v>67</v>
      </c>
    </row>
    <row r="74" spans="2:4" x14ac:dyDescent="0.3">
      <c r="B74" s="23">
        <f t="shared" si="3"/>
        <v>45214</v>
      </c>
      <c r="C74" s="23">
        <f t="shared" si="3"/>
        <v>45220</v>
      </c>
      <c r="D74" s="24">
        <f t="shared" si="4"/>
        <v>68</v>
      </c>
    </row>
    <row r="75" spans="2:4" x14ac:dyDescent="0.3">
      <c r="B75" s="23">
        <f t="shared" si="3"/>
        <v>45221</v>
      </c>
      <c r="C75" s="23">
        <f t="shared" si="3"/>
        <v>45227</v>
      </c>
      <c r="D75" s="24">
        <f t="shared" si="4"/>
        <v>69</v>
      </c>
    </row>
    <row r="76" spans="2:4" x14ac:dyDescent="0.3">
      <c r="B76" s="23">
        <f t="shared" si="3"/>
        <v>45228</v>
      </c>
      <c r="C76" s="23">
        <f t="shared" si="3"/>
        <v>45234</v>
      </c>
      <c r="D76" s="24">
        <f t="shared" si="4"/>
        <v>70</v>
      </c>
    </row>
    <row r="77" spans="2:4" x14ac:dyDescent="0.3">
      <c r="B77" s="23">
        <f t="shared" si="3"/>
        <v>45235</v>
      </c>
      <c r="C77" s="23">
        <f t="shared" si="3"/>
        <v>45241</v>
      </c>
      <c r="D77" s="24">
        <f t="shared" si="4"/>
        <v>71</v>
      </c>
    </row>
    <row r="78" spans="2:4" x14ac:dyDescent="0.3">
      <c r="B78" s="23">
        <f t="shared" si="3"/>
        <v>45242</v>
      </c>
      <c r="C78" s="23">
        <f t="shared" si="3"/>
        <v>45248</v>
      </c>
      <c r="D78" s="24">
        <f t="shared" si="4"/>
        <v>72</v>
      </c>
    </row>
    <row r="79" spans="2:4" x14ac:dyDescent="0.3">
      <c r="B79" s="23">
        <f t="shared" si="3"/>
        <v>45249</v>
      </c>
      <c r="C79" s="23">
        <f t="shared" si="3"/>
        <v>45255</v>
      </c>
      <c r="D79" s="24">
        <f t="shared" si="4"/>
        <v>73</v>
      </c>
    </row>
    <row r="80" spans="2:4" x14ac:dyDescent="0.3">
      <c r="B80" s="23">
        <f t="shared" si="3"/>
        <v>45256</v>
      </c>
      <c r="C80" s="23">
        <f t="shared" si="3"/>
        <v>45262</v>
      </c>
      <c r="D80" s="24">
        <f t="shared" si="4"/>
        <v>74</v>
      </c>
    </row>
    <row r="81" spans="2:4" x14ac:dyDescent="0.3">
      <c r="B81" s="23">
        <f t="shared" si="3"/>
        <v>45263</v>
      </c>
      <c r="C81" s="23">
        <f t="shared" si="3"/>
        <v>45269</v>
      </c>
      <c r="D81" s="24">
        <f t="shared" si="4"/>
        <v>75</v>
      </c>
    </row>
    <row r="82" spans="2:4" x14ac:dyDescent="0.3">
      <c r="B82" s="23">
        <f t="shared" si="3"/>
        <v>45270</v>
      </c>
      <c r="C82" s="23">
        <f t="shared" si="3"/>
        <v>45276</v>
      </c>
      <c r="D82" s="24">
        <f t="shared" si="4"/>
        <v>76</v>
      </c>
    </row>
    <row r="83" spans="2:4" x14ac:dyDescent="0.3">
      <c r="B83" s="23">
        <f t="shared" si="3"/>
        <v>45277</v>
      </c>
      <c r="C83" s="23">
        <f t="shared" si="3"/>
        <v>45283</v>
      </c>
      <c r="D83" s="24">
        <f t="shared" si="4"/>
        <v>77</v>
      </c>
    </row>
    <row r="84" spans="2:4" x14ac:dyDescent="0.3">
      <c r="B84" s="23">
        <f t="shared" si="3"/>
        <v>45284</v>
      </c>
      <c r="C84" s="23">
        <f t="shared" si="3"/>
        <v>45290</v>
      </c>
      <c r="D84" s="24">
        <f t="shared" si="4"/>
        <v>78</v>
      </c>
    </row>
    <row r="85" spans="2:4" x14ac:dyDescent="0.3">
      <c r="B85" s="23">
        <f t="shared" si="3"/>
        <v>45291</v>
      </c>
      <c r="C85" s="23">
        <f t="shared" si="3"/>
        <v>45297</v>
      </c>
      <c r="D85" s="24">
        <f t="shared" si="4"/>
        <v>79</v>
      </c>
    </row>
    <row r="86" spans="2:4" x14ac:dyDescent="0.3">
      <c r="B86" s="23">
        <f t="shared" si="3"/>
        <v>45298</v>
      </c>
      <c r="C86" s="23">
        <f t="shared" si="3"/>
        <v>45304</v>
      </c>
      <c r="D86" s="24">
        <f t="shared" si="4"/>
        <v>80</v>
      </c>
    </row>
    <row r="87" spans="2:4" x14ac:dyDescent="0.3">
      <c r="B87" s="23">
        <f t="shared" si="3"/>
        <v>45305</v>
      </c>
      <c r="C87" s="23">
        <f t="shared" si="3"/>
        <v>45311</v>
      </c>
      <c r="D87" s="24">
        <f t="shared" si="4"/>
        <v>81</v>
      </c>
    </row>
    <row r="88" spans="2:4" x14ac:dyDescent="0.3">
      <c r="B88" s="23">
        <f t="shared" ref="B88:C103" si="5">B87+7</f>
        <v>45312</v>
      </c>
      <c r="C88" s="23">
        <f t="shared" si="5"/>
        <v>45318</v>
      </c>
      <c r="D88" s="24">
        <f t="shared" si="4"/>
        <v>82</v>
      </c>
    </row>
    <row r="89" spans="2:4" x14ac:dyDescent="0.3">
      <c r="B89" s="23">
        <f t="shared" si="5"/>
        <v>45319</v>
      </c>
      <c r="C89" s="23">
        <f t="shared" si="5"/>
        <v>45325</v>
      </c>
      <c r="D89" s="24">
        <f t="shared" si="4"/>
        <v>83</v>
      </c>
    </row>
    <row r="90" spans="2:4" x14ac:dyDescent="0.3">
      <c r="B90" s="23">
        <f t="shared" si="5"/>
        <v>45326</v>
      </c>
      <c r="C90" s="23">
        <f t="shared" si="5"/>
        <v>45332</v>
      </c>
      <c r="D90" s="24">
        <f t="shared" si="4"/>
        <v>84</v>
      </c>
    </row>
    <row r="91" spans="2:4" x14ac:dyDescent="0.3">
      <c r="B91" s="23">
        <f t="shared" si="5"/>
        <v>45333</v>
      </c>
      <c r="C91" s="23">
        <f t="shared" si="5"/>
        <v>45339</v>
      </c>
      <c r="D91" s="24">
        <f t="shared" si="4"/>
        <v>85</v>
      </c>
    </row>
    <row r="92" spans="2:4" x14ac:dyDescent="0.3">
      <c r="B92" s="23">
        <f t="shared" si="5"/>
        <v>45340</v>
      </c>
      <c r="C92" s="23">
        <f t="shared" si="5"/>
        <v>45346</v>
      </c>
      <c r="D92" s="24">
        <f t="shared" si="4"/>
        <v>86</v>
      </c>
    </row>
    <row r="93" spans="2:4" x14ac:dyDescent="0.3">
      <c r="B93" s="23">
        <f t="shared" si="5"/>
        <v>45347</v>
      </c>
      <c r="C93" s="23">
        <f t="shared" si="5"/>
        <v>45353</v>
      </c>
      <c r="D93" s="24">
        <f t="shared" si="4"/>
        <v>87</v>
      </c>
    </row>
    <row r="94" spans="2:4" x14ac:dyDescent="0.3">
      <c r="B94" s="23">
        <f t="shared" si="5"/>
        <v>45354</v>
      </c>
      <c r="C94" s="23">
        <f t="shared" si="5"/>
        <v>45360</v>
      </c>
      <c r="D94" s="24">
        <f t="shared" si="4"/>
        <v>88</v>
      </c>
    </row>
    <row r="95" spans="2:4" x14ac:dyDescent="0.3">
      <c r="B95" s="23">
        <f t="shared" si="5"/>
        <v>45361</v>
      </c>
      <c r="C95" s="23">
        <f t="shared" si="5"/>
        <v>45367</v>
      </c>
      <c r="D95" s="24">
        <f t="shared" si="4"/>
        <v>89</v>
      </c>
    </row>
    <row r="96" spans="2:4" x14ac:dyDescent="0.3">
      <c r="B96" s="23">
        <f t="shared" si="5"/>
        <v>45368</v>
      </c>
      <c r="C96" s="23">
        <f t="shared" si="5"/>
        <v>45374</v>
      </c>
      <c r="D96" s="24">
        <f t="shared" si="4"/>
        <v>90</v>
      </c>
    </row>
    <row r="97" spans="2:4" x14ac:dyDescent="0.3">
      <c r="B97" s="23">
        <f t="shared" si="5"/>
        <v>45375</v>
      </c>
      <c r="C97" s="23">
        <f t="shared" si="5"/>
        <v>45381</v>
      </c>
      <c r="D97" s="24">
        <f t="shared" si="4"/>
        <v>91</v>
      </c>
    </row>
    <row r="98" spans="2:4" x14ac:dyDescent="0.3">
      <c r="B98" s="23">
        <f t="shared" si="5"/>
        <v>45382</v>
      </c>
      <c r="C98" s="23">
        <f t="shared" si="5"/>
        <v>45388</v>
      </c>
      <c r="D98" s="24">
        <f t="shared" si="4"/>
        <v>92</v>
      </c>
    </row>
    <row r="99" spans="2:4" x14ac:dyDescent="0.3">
      <c r="B99" s="23">
        <f t="shared" si="5"/>
        <v>45389</v>
      </c>
      <c r="C99" s="23">
        <f t="shared" si="5"/>
        <v>45395</v>
      </c>
      <c r="D99" s="24">
        <f t="shared" si="4"/>
        <v>93</v>
      </c>
    </row>
    <row r="100" spans="2:4" x14ac:dyDescent="0.3">
      <c r="B100" s="23">
        <f t="shared" si="5"/>
        <v>45396</v>
      </c>
      <c r="C100" s="23">
        <f t="shared" si="5"/>
        <v>45402</v>
      </c>
      <c r="D100" s="24">
        <f t="shared" si="4"/>
        <v>94</v>
      </c>
    </row>
    <row r="101" spans="2:4" x14ac:dyDescent="0.3">
      <c r="B101" s="23">
        <f t="shared" si="5"/>
        <v>45403</v>
      </c>
      <c r="C101" s="23">
        <f t="shared" si="5"/>
        <v>45409</v>
      </c>
      <c r="D101" s="24">
        <f t="shared" si="4"/>
        <v>95</v>
      </c>
    </row>
    <row r="102" spans="2:4" x14ac:dyDescent="0.3">
      <c r="B102" s="23">
        <f t="shared" si="5"/>
        <v>45410</v>
      </c>
      <c r="C102" s="23">
        <f t="shared" si="5"/>
        <v>45416</v>
      </c>
      <c r="D102" s="24">
        <f t="shared" si="4"/>
        <v>96</v>
      </c>
    </row>
    <row r="103" spans="2:4" x14ac:dyDescent="0.3">
      <c r="B103" s="23">
        <f t="shared" si="5"/>
        <v>45417</v>
      </c>
      <c r="C103" s="23">
        <f t="shared" si="5"/>
        <v>45423</v>
      </c>
      <c r="D103" s="24">
        <f t="shared" si="4"/>
        <v>97</v>
      </c>
    </row>
    <row r="104" spans="2:4" x14ac:dyDescent="0.3">
      <c r="B104" s="23">
        <f t="shared" ref="B104:C119" si="6">B103+7</f>
        <v>45424</v>
      </c>
      <c r="C104" s="23">
        <f t="shared" si="6"/>
        <v>45430</v>
      </c>
      <c r="D104" s="24">
        <f t="shared" si="4"/>
        <v>98</v>
      </c>
    </row>
    <row r="105" spans="2:4" x14ac:dyDescent="0.3">
      <c r="B105" s="23">
        <f t="shared" si="6"/>
        <v>45431</v>
      </c>
      <c r="C105" s="23">
        <f t="shared" si="6"/>
        <v>45437</v>
      </c>
      <c r="D105" s="24">
        <f t="shared" si="4"/>
        <v>99</v>
      </c>
    </row>
    <row r="106" spans="2:4" x14ac:dyDescent="0.3">
      <c r="B106" s="23">
        <f t="shared" si="6"/>
        <v>45438</v>
      </c>
      <c r="C106" s="23">
        <f t="shared" si="6"/>
        <v>45444</v>
      </c>
      <c r="D106" s="24">
        <f t="shared" si="4"/>
        <v>100</v>
      </c>
    </row>
    <row r="107" spans="2:4" x14ac:dyDescent="0.3">
      <c r="B107" s="23">
        <f t="shared" si="6"/>
        <v>45445</v>
      </c>
      <c r="C107" s="23">
        <f t="shared" si="6"/>
        <v>45451</v>
      </c>
      <c r="D107" s="24">
        <f t="shared" si="4"/>
        <v>101</v>
      </c>
    </row>
    <row r="108" spans="2:4" x14ac:dyDescent="0.3">
      <c r="B108" s="23">
        <f t="shared" si="6"/>
        <v>45452</v>
      </c>
      <c r="C108" s="23">
        <f t="shared" si="6"/>
        <v>45458</v>
      </c>
      <c r="D108" s="24">
        <f t="shared" si="4"/>
        <v>102</v>
      </c>
    </row>
    <row r="109" spans="2:4" x14ac:dyDescent="0.3">
      <c r="B109" s="23">
        <f t="shared" si="6"/>
        <v>45459</v>
      </c>
      <c r="C109" s="23">
        <f t="shared" si="6"/>
        <v>45465</v>
      </c>
      <c r="D109" s="24">
        <f t="shared" si="4"/>
        <v>103</v>
      </c>
    </row>
    <row r="110" spans="2:4" x14ac:dyDescent="0.3">
      <c r="B110" s="23">
        <f t="shared" si="6"/>
        <v>45466</v>
      </c>
      <c r="C110" s="23">
        <f t="shared" si="6"/>
        <v>45472</v>
      </c>
      <c r="D110" s="24">
        <f t="shared" si="4"/>
        <v>104</v>
      </c>
    </row>
    <row r="111" spans="2:4" x14ac:dyDescent="0.3">
      <c r="B111" s="23">
        <f t="shared" si="6"/>
        <v>45473</v>
      </c>
      <c r="C111" s="23">
        <f t="shared" si="6"/>
        <v>45479</v>
      </c>
      <c r="D111" s="24">
        <f t="shared" si="4"/>
        <v>105</v>
      </c>
    </row>
    <row r="112" spans="2:4" x14ac:dyDescent="0.3">
      <c r="B112" s="23">
        <f t="shared" si="6"/>
        <v>45480</v>
      </c>
      <c r="C112" s="23">
        <f t="shared" si="6"/>
        <v>45486</v>
      </c>
      <c r="D112" s="24">
        <f t="shared" si="4"/>
        <v>106</v>
      </c>
    </row>
    <row r="113" spans="2:4" x14ac:dyDescent="0.3">
      <c r="B113" s="23">
        <f t="shared" si="6"/>
        <v>45487</v>
      </c>
      <c r="C113" s="23">
        <f t="shared" si="6"/>
        <v>45493</v>
      </c>
      <c r="D113" s="24">
        <f t="shared" si="4"/>
        <v>107</v>
      </c>
    </row>
    <row r="114" spans="2:4" x14ac:dyDescent="0.3">
      <c r="B114" s="23">
        <f t="shared" si="6"/>
        <v>45494</v>
      </c>
      <c r="C114" s="23">
        <f t="shared" si="6"/>
        <v>45500</v>
      </c>
      <c r="D114" s="24">
        <f t="shared" si="4"/>
        <v>108</v>
      </c>
    </row>
    <row r="115" spans="2:4" x14ac:dyDescent="0.3">
      <c r="B115" s="23">
        <f t="shared" si="6"/>
        <v>45501</v>
      </c>
      <c r="C115" s="23">
        <f t="shared" si="6"/>
        <v>45507</v>
      </c>
      <c r="D115" s="24">
        <f t="shared" si="4"/>
        <v>109</v>
      </c>
    </row>
    <row r="116" spans="2:4" x14ac:dyDescent="0.3">
      <c r="B116" s="23">
        <f t="shared" si="6"/>
        <v>45508</v>
      </c>
      <c r="C116" s="23">
        <f t="shared" si="6"/>
        <v>45514</v>
      </c>
      <c r="D116" s="24">
        <f t="shared" si="4"/>
        <v>110</v>
      </c>
    </row>
    <row r="117" spans="2:4" x14ac:dyDescent="0.3">
      <c r="B117" s="23">
        <f t="shared" si="6"/>
        <v>45515</v>
      </c>
      <c r="C117" s="23">
        <f t="shared" si="6"/>
        <v>45521</v>
      </c>
      <c r="D117" s="24">
        <f t="shared" si="4"/>
        <v>111</v>
      </c>
    </row>
    <row r="118" spans="2:4" x14ac:dyDescent="0.3">
      <c r="B118" s="23">
        <f t="shared" si="6"/>
        <v>45522</v>
      </c>
      <c r="C118" s="23">
        <f t="shared" si="6"/>
        <v>45528</v>
      </c>
      <c r="D118" s="24">
        <f t="shared" si="4"/>
        <v>112</v>
      </c>
    </row>
    <row r="119" spans="2:4" x14ac:dyDescent="0.3">
      <c r="B119" s="23">
        <f t="shared" si="6"/>
        <v>45529</v>
      </c>
      <c r="C119" s="23">
        <f t="shared" si="6"/>
        <v>45535</v>
      </c>
      <c r="D119" s="24">
        <f t="shared" si="4"/>
        <v>113</v>
      </c>
    </row>
    <row r="120" spans="2:4" x14ac:dyDescent="0.3">
      <c r="B120" s="23">
        <f t="shared" ref="B120:C135" si="7">B119+7</f>
        <v>45536</v>
      </c>
      <c r="C120" s="23">
        <f t="shared" si="7"/>
        <v>45542</v>
      </c>
      <c r="D120" s="24">
        <f t="shared" si="4"/>
        <v>114</v>
      </c>
    </row>
    <row r="121" spans="2:4" x14ac:dyDescent="0.3">
      <c r="B121" s="23">
        <f t="shared" si="7"/>
        <v>45543</v>
      </c>
      <c r="C121" s="23">
        <f t="shared" si="7"/>
        <v>45549</v>
      </c>
      <c r="D121" s="24">
        <f t="shared" si="4"/>
        <v>115</v>
      </c>
    </row>
    <row r="122" spans="2:4" x14ac:dyDescent="0.3">
      <c r="B122" s="23">
        <f t="shared" si="7"/>
        <v>45550</v>
      </c>
      <c r="C122" s="23">
        <f t="shared" si="7"/>
        <v>45556</v>
      </c>
      <c r="D122" s="24">
        <f t="shared" si="4"/>
        <v>116</v>
      </c>
    </row>
    <row r="123" spans="2:4" x14ac:dyDescent="0.3">
      <c r="B123" s="23">
        <f t="shared" si="7"/>
        <v>45557</v>
      </c>
      <c r="C123" s="23">
        <f t="shared" si="7"/>
        <v>45563</v>
      </c>
      <c r="D123" s="24">
        <f t="shared" si="4"/>
        <v>117</v>
      </c>
    </row>
    <row r="124" spans="2:4" x14ac:dyDescent="0.3">
      <c r="B124" s="23">
        <f t="shared" si="7"/>
        <v>45564</v>
      </c>
      <c r="C124" s="23">
        <f t="shared" si="7"/>
        <v>45570</v>
      </c>
      <c r="D124" s="24">
        <f t="shared" si="4"/>
        <v>118</v>
      </c>
    </row>
    <row r="125" spans="2:4" x14ac:dyDescent="0.3">
      <c r="B125" s="23">
        <f t="shared" si="7"/>
        <v>45571</v>
      </c>
      <c r="C125" s="23">
        <f t="shared" si="7"/>
        <v>45577</v>
      </c>
      <c r="D125" s="24">
        <f t="shared" si="4"/>
        <v>119</v>
      </c>
    </row>
    <row r="126" spans="2:4" x14ac:dyDescent="0.3">
      <c r="B126" s="23">
        <f t="shared" si="7"/>
        <v>45578</v>
      </c>
      <c r="C126" s="23">
        <f t="shared" si="7"/>
        <v>45584</v>
      </c>
      <c r="D126" s="24">
        <f t="shared" si="4"/>
        <v>120</v>
      </c>
    </row>
    <row r="127" spans="2:4" x14ac:dyDescent="0.3">
      <c r="B127" s="23">
        <f t="shared" si="7"/>
        <v>45585</v>
      </c>
      <c r="C127" s="23">
        <f t="shared" si="7"/>
        <v>45591</v>
      </c>
      <c r="D127" s="24">
        <f t="shared" si="4"/>
        <v>121</v>
      </c>
    </row>
    <row r="128" spans="2:4" x14ac:dyDescent="0.3">
      <c r="B128" s="23">
        <f t="shared" si="7"/>
        <v>45592</v>
      </c>
      <c r="C128" s="23">
        <f t="shared" si="7"/>
        <v>45598</v>
      </c>
      <c r="D128" s="24">
        <f t="shared" si="4"/>
        <v>122</v>
      </c>
    </row>
    <row r="129" spans="2:4" x14ac:dyDescent="0.3">
      <c r="B129" s="23">
        <f t="shared" si="7"/>
        <v>45599</v>
      </c>
      <c r="C129" s="23">
        <f t="shared" si="7"/>
        <v>45605</v>
      </c>
      <c r="D129" s="24">
        <f t="shared" si="4"/>
        <v>123</v>
      </c>
    </row>
    <row r="130" spans="2:4" x14ac:dyDescent="0.3">
      <c r="B130" s="23">
        <f t="shared" si="7"/>
        <v>45606</v>
      </c>
      <c r="C130" s="23">
        <f t="shared" si="7"/>
        <v>45612</v>
      </c>
      <c r="D130" s="24">
        <f t="shared" si="4"/>
        <v>124</v>
      </c>
    </row>
    <row r="131" spans="2:4" x14ac:dyDescent="0.3">
      <c r="B131" s="23">
        <f t="shared" si="7"/>
        <v>45613</v>
      </c>
      <c r="C131" s="23">
        <f t="shared" si="7"/>
        <v>45619</v>
      </c>
      <c r="D131" s="24">
        <f t="shared" si="4"/>
        <v>125</v>
      </c>
    </row>
    <row r="132" spans="2:4" x14ac:dyDescent="0.3">
      <c r="B132" s="23">
        <f t="shared" si="7"/>
        <v>45620</v>
      </c>
      <c r="C132" s="23">
        <f t="shared" si="7"/>
        <v>45626</v>
      </c>
      <c r="D132" s="24">
        <f t="shared" si="4"/>
        <v>126</v>
      </c>
    </row>
    <row r="133" spans="2:4" x14ac:dyDescent="0.3">
      <c r="B133" s="23">
        <f t="shared" si="7"/>
        <v>45627</v>
      </c>
      <c r="C133" s="23">
        <f t="shared" si="7"/>
        <v>45633</v>
      </c>
      <c r="D133" s="24">
        <f t="shared" si="4"/>
        <v>127</v>
      </c>
    </row>
    <row r="134" spans="2:4" x14ac:dyDescent="0.3">
      <c r="B134" s="23">
        <f t="shared" si="7"/>
        <v>45634</v>
      </c>
      <c r="C134" s="23">
        <f t="shared" si="7"/>
        <v>45640</v>
      </c>
      <c r="D134" s="24">
        <f t="shared" si="4"/>
        <v>128</v>
      </c>
    </row>
    <row r="135" spans="2:4" x14ac:dyDescent="0.3">
      <c r="B135" s="23">
        <f t="shared" si="7"/>
        <v>45641</v>
      </c>
      <c r="C135" s="23">
        <f t="shared" si="7"/>
        <v>45647</v>
      </c>
      <c r="D135" s="24">
        <f t="shared" si="4"/>
        <v>129</v>
      </c>
    </row>
    <row r="136" spans="2:4" x14ac:dyDescent="0.3">
      <c r="B136" s="23">
        <f t="shared" ref="B136:C151" si="8">B135+7</f>
        <v>45648</v>
      </c>
      <c r="C136" s="23">
        <f t="shared" si="8"/>
        <v>45654</v>
      </c>
      <c r="D136" s="24">
        <f t="shared" ref="D136:D196" si="9">D135+1</f>
        <v>130</v>
      </c>
    </row>
    <row r="137" spans="2:4" x14ac:dyDescent="0.3">
      <c r="B137" s="23">
        <f t="shared" si="8"/>
        <v>45655</v>
      </c>
      <c r="C137" s="23">
        <f t="shared" si="8"/>
        <v>45661</v>
      </c>
      <c r="D137" s="24">
        <f t="shared" si="9"/>
        <v>131</v>
      </c>
    </row>
    <row r="138" spans="2:4" x14ac:dyDescent="0.3">
      <c r="B138" s="23">
        <f t="shared" si="8"/>
        <v>45662</v>
      </c>
      <c r="C138" s="23">
        <f t="shared" si="8"/>
        <v>45668</v>
      </c>
      <c r="D138" s="24">
        <f t="shared" si="9"/>
        <v>132</v>
      </c>
    </row>
    <row r="139" spans="2:4" x14ac:dyDescent="0.3">
      <c r="B139" s="23">
        <f t="shared" si="8"/>
        <v>45669</v>
      </c>
      <c r="C139" s="23">
        <f t="shared" si="8"/>
        <v>45675</v>
      </c>
      <c r="D139" s="24">
        <f t="shared" si="9"/>
        <v>133</v>
      </c>
    </row>
    <row r="140" spans="2:4" x14ac:dyDescent="0.3">
      <c r="B140" s="23">
        <f t="shared" si="8"/>
        <v>45676</v>
      </c>
      <c r="C140" s="23">
        <f t="shared" si="8"/>
        <v>45682</v>
      </c>
      <c r="D140" s="24">
        <f t="shared" si="9"/>
        <v>134</v>
      </c>
    </row>
    <row r="141" spans="2:4" x14ac:dyDescent="0.3">
      <c r="B141" s="23">
        <f t="shared" si="8"/>
        <v>45683</v>
      </c>
      <c r="C141" s="23">
        <f t="shared" si="8"/>
        <v>45689</v>
      </c>
      <c r="D141" s="24">
        <f t="shared" si="9"/>
        <v>135</v>
      </c>
    </row>
    <row r="142" spans="2:4" x14ac:dyDescent="0.3">
      <c r="B142" s="23">
        <f t="shared" si="8"/>
        <v>45690</v>
      </c>
      <c r="C142" s="23">
        <f t="shared" si="8"/>
        <v>45696</v>
      </c>
      <c r="D142" s="24">
        <f t="shared" si="9"/>
        <v>136</v>
      </c>
    </row>
    <row r="143" spans="2:4" x14ac:dyDescent="0.3">
      <c r="B143" s="23">
        <f t="shared" si="8"/>
        <v>45697</v>
      </c>
      <c r="C143" s="23">
        <f t="shared" si="8"/>
        <v>45703</v>
      </c>
      <c r="D143" s="24">
        <f t="shared" si="9"/>
        <v>137</v>
      </c>
    </row>
    <row r="144" spans="2:4" x14ac:dyDescent="0.3">
      <c r="B144" s="23">
        <f t="shared" si="8"/>
        <v>45704</v>
      </c>
      <c r="C144" s="23">
        <f t="shared" si="8"/>
        <v>45710</v>
      </c>
      <c r="D144" s="24">
        <f t="shared" si="9"/>
        <v>138</v>
      </c>
    </row>
    <row r="145" spans="2:4" x14ac:dyDescent="0.3">
      <c r="B145" s="23">
        <f t="shared" si="8"/>
        <v>45711</v>
      </c>
      <c r="C145" s="23">
        <f t="shared" si="8"/>
        <v>45717</v>
      </c>
      <c r="D145" s="24">
        <f t="shared" si="9"/>
        <v>139</v>
      </c>
    </row>
    <row r="146" spans="2:4" x14ac:dyDescent="0.3">
      <c r="B146" s="23">
        <f t="shared" si="8"/>
        <v>45718</v>
      </c>
      <c r="C146" s="23">
        <f t="shared" si="8"/>
        <v>45724</v>
      </c>
      <c r="D146" s="24">
        <f t="shared" si="9"/>
        <v>140</v>
      </c>
    </row>
    <row r="147" spans="2:4" x14ac:dyDescent="0.3">
      <c r="B147" s="23">
        <f t="shared" si="8"/>
        <v>45725</v>
      </c>
      <c r="C147" s="23">
        <f t="shared" si="8"/>
        <v>45731</v>
      </c>
      <c r="D147" s="24">
        <f t="shared" si="9"/>
        <v>141</v>
      </c>
    </row>
    <row r="148" spans="2:4" x14ac:dyDescent="0.3">
      <c r="B148" s="23">
        <f t="shared" si="8"/>
        <v>45732</v>
      </c>
      <c r="C148" s="23">
        <f t="shared" si="8"/>
        <v>45738</v>
      </c>
      <c r="D148" s="24">
        <f t="shared" si="9"/>
        <v>142</v>
      </c>
    </row>
    <row r="149" spans="2:4" x14ac:dyDescent="0.3">
      <c r="B149" s="23">
        <f t="shared" si="8"/>
        <v>45739</v>
      </c>
      <c r="C149" s="23">
        <f t="shared" si="8"/>
        <v>45745</v>
      </c>
      <c r="D149" s="24">
        <f t="shared" si="9"/>
        <v>143</v>
      </c>
    </row>
    <row r="150" spans="2:4" x14ac:dyDescent="0.3">
      <c r="B150" s="23">
        <f t="shared" si="8"/>
        <v>45746</v>
      </c>
      <c r="C150" s="23">
        <f t="shared" si="8"/>
        <v>45752</v>
      </c>
      <c r="D150" s="24">
        <f t="shared" si="9"/>
        <v>144</v>
      </c>
    </row>
    <row r="151" spans="2:4" x14ac:dyDescent="0.3">
      <c r="B151" s="23">
        <f t="shared" si="8"/>
        <v>45753</v>
      </c>
      <c r="C151" s="23">
        <f t="shared" si="8"/>
        <v>45759</v>
      </c>
      <c r="D151" s="24">
        <f t="shared" si="9"/>
        <v>145</v>
      </c>
    </row>
    <row r="152" spans="2:4" x14ac:dyDescent="0.3">
      <c r="B152" s="23">
        <f t="shared" ref="B152:C167" si="10">B151+7</f>
        <v>45760</v>
      </c>
      <c r="C152" s="23">
        <f t="shared" si="10"/>
        <v>45766</v>
      </c>
      <c r="D152" s="24">
        <f t="shared" si="9"/>
        <v>146</v>
      </c>
    </row>
    <row r="153" spans="2:4" x14ac:dyDescent="0.3">
      <c r="B153" s="23">
        <f t="shared" si="10"/>
        <v>45767</v>
      </c>
      <c r="C153" s="23">
        <f t="shared" si="10"/>
        <v>45773</v>
      </c>
      <c r="D153" s="24">
        <f t="shared" si="9"/>
        <v>147</v>
      </c>
    </row>
    <row r="154" spans="2:4" x14ac:dyDescent="0.3">
      <c r="B154" s="23">
        <f t="shared" si="10"/>
        <v>45774</v>
      </c>
      <c r="C154" s="23">
        <f t="shared" si="10"/>
        <v>45780</v>
      </c>
      <c r="D154" s="24">
        <f t="shared" si="9"/>
        <v>148</v>
      </c>
    </row>
    <row r="155" spans="2:4" x14ac:dyDescent="0.3">
      <c r="B155" s="23">
        <f t="shared" si="10"/>
        <v>45781</v>
      </c>
      <c r="C155" s="23">
        <f t="shared" si="10"/>
        <v>45787</v>
      </c>
      <c r="D155" s="24">
        <f t="shared" si="9"/>
        <v>149</v>
      </c>
    </row>
    <row r="156" spans="2:4" x14ac:dyDescent="0.3">
      <c r="B156" s="23">
        <f t="shared" si="10"/>
        <v>45788</v>
      </c>
      <c r="C156" s="23">
        <f t="shared" si="10"/>
        <v>45794</v>
      </c>
      <c r="D156" s="24">
        <f t="shared" si="9"/>
        <v>150</v>
      </c>
    </row>
    <row r="157" spans="2:4" x14ac:dyDescent="0.3">
      <c r="B157" s="23">
        <f t="shared" si="10"/>
        <v>45795</v>
      </c>
      <c r="C157" s="23">
        <f t="shared" si="10"/>
        <v>45801</v>
      </c>
      <c r="D157" s="24">
        <f t="shared" si="9"/>
        <v>151</v>
      </c>
    </row>
    <row r="158" spans="2:4" x14ac:dyDescent="0.3">
      <c r="B158" s="23">
        <f t="shared" si="10"/>
        <v>45802</v>
      </c>
      <c r="C158" s="23">
        <f t="shared" si="10"/>
        <v>45808</v>
      </c>
      <c r="D158" s="24">
        <f t="shared" si="9"/>
        <v>152</v>
      </c>
    </row>
    <row r="159" spans="2:4" x14ac:dyDescent="0.3">
      <c r="B159" s="23">
        <f t="shared" si="10"/>
        <v>45809</v>
      </c>
      <c r="C159" s="23">
        <f t="shared" si="10"/>
        <v>45815</v>
      </c>
      <c r="D159" s="24">
        <f t="shared" si="9"/>
        <v>153</v>
      </c>
    </row>
    <row r="160" spans="2:4" x14ac:dyDescent="0.3">
      <c r="B160" s="23">
        <f t="shared" si="10"/>
        <v>45816</v>
      </c>
      <c r="C160" s="23">
        <f t="shared" si="10"/>
        <v>45822</v>
      </c>
      <c r="D160" s="24">
        <f t="shared" si="9"/>
        <v>154</v>
      </c>
    </row>
    <row r="161" spans="2:4" x14ac:dyDescent="0.3">
      <c r="B161" s="23">
        <f t="shared" si="10"/>
        <v>45823</v>
      </c>
      <c r="C161" s="23">
        <f t="shared" si="10"/>
        <v>45829</v>
      </c>
      <c r="D161" s="24">
        <f t="shared" si="9"/>
        <v>155</v>
      </c>
    </row>
    <row r="162" spans="2:4" x14ac:dyDescent="0.3">
      <c r="B162" s="23">
        <f t="shared" si="10"/>
        <v>45830</v>
      </c>
      <c r="C162" s="23">
        <f t="shared" si="10"/>
        <v>45836</v>
      </c>
      <c r="D162" s="24">
        <f t="shared" si="9"/>
        <v>156</v>
      </c>
    </row>
    <row r="163" spans="2:4" x14ac:dyDescent="0.3">
      <c r="B163" s="23">
        <f t="shared" si="10"/>
        <v>45837</v>
      </c>
      <c r="C163" s="23">
        <f t="shared" si="10"/>
        <v>45843</v>
      </c>
      <c r="D163" s="24">
        <f t="shared" si="9"/>
        <v>157</v>
      </c>
    </row>
    <row r="164" spans="2:4" x14ac:dyDescent="0.3">
      <c r="B164" s="23">
        <f t="shared" si="10"/>
        <v>45844</v>
      </c>
      <c r="C164" s="23">
        <f t="shared" si="10"/>
        <v>45850</v>
      </c>
      <c r="D164" s="24">
        <f t="shared" si="9"/>
        <v>158</v>
      </c>
    </row>
    <row r="165" spans="2:4" x14ac:dyDescent="0.3">
      <c r="B165" s="23">
        <f t="shared" si="10"/>
        <v>45851</v>
      </c>
      <c r="C165" s="23">
        <f t="shared" si="10"/>
        <v>45857</v>
      </c>
      <c r="D165" s="24">
        <f t="shared" si="9"/>
        <v>159</v>
      </c>
    </row>
    <row r="166" spans="2:4" x14ac:dyDescent="0.3">
      <c r="B166" s="23">
        <f t="shared" si="10"/>
        <v>45858</v>
      </c>
      <c r="C166" s="23">
        <f t="shared" si="10"/>
        <v>45864</v>
      </c>
      <c r="D166" s="24">
        <f t="shared" si="9"/>
        <v>160</v>
      </c>
    </row>
    <row r="167" spans="2:4" x14ac:dyDescent="0.3">
      <c r="B167" s="23">
        <f t="shared" si="10"/>
        <v>45865</v>
      </c>
      <c r="C167" s="23">
        <f t="shared" si="10"/>
        <v>45871</v>
      </c>
      <c r="D167" s="24">
        <f t="shared" si="9"/>
        <v>161</v>
      </c>
    </row>
    <row r="168" spans="2:4" x14ac:dyDescent="0.3">
      <c r="B168" s="23">
        <f t="shared" ref="B168:C183" si="11">B167+7</f>
        <v>45872</v>
      </c>
      <c r="C168" s="23">
        <f t="shared" si="11"/>
        <v>45878</v>
      </c>
      <c r="D168" s="24">
        <f t="shared" si="9"/>
        <v>162</v>
      </c>
    </row>
    <row r="169" spans="2:4" x14ac:dyDescent="0.3">
      <c r="B169" s="23">
        <f t="shared" si="11"/>
        <v>45879</v>
      </c>
      <c r="C169" s="23">
        <f t="shared" si="11"/>
        <v>45885</v>
      </c>
      <c r="D169" s="24">
        <f t="shared" si="9"/>
        <v>163</v>
      </c>
    </row>
    <row r="170" spans="2:4" x14ac:dyDescent="0.3">
      <c r="B170" s="23">
        <f t="shared" si="11"/>
        <v>45886</v>
      </c>
      <c r="C170" s="23">
        <f t="shared" si="11"/>
        <v>45892</v>
      </c>
      <c r="D170" s="24">
        <f t="shared" si="9"/>
        <v>164</v>
      </c>
    </row>
    <row r="171" spans="2:4" x14ac:dyDescent="0.3">
      <c r="B171" s="23">
        <f t="shared" si="11"/>
        <v>45893</v>
      </c>
      <c r="C171" s="23">
        <f t="shared" si="11"/>
        <v>45899</v>
      </c>
      <c r="D171" s="24">
        <f t="shared" si="9"/>
        <v>165</v>
      </c>
    </row>
    <row r="172" spans="2:4" x14ac:dyDescent="0.3">
      <c r="B172" s="23">
        <f t="shared" si="11"/>
        <v>45900</v>
      </c>
      <c r="C172" s="23">
        <f t="shared" si="11"/>
        <v>45906</v>
      </c>
      <c r="D172" s="24">
        <f t="shared" si="9"/>
        <v>166</v>
      </c>
    </row>
    <row r="173" spans="2:4" x14ac:dyDescent="0.3">
      <c r="B173" s="23">
        <f t="shared" si="11"/>
        <v>45907</v>
      </c>
      <c r="C173" s="23">
        <f t="shared" si="11"/>
        <v>45913</v>
      </c>
      <c r="D173" s="24">
        <f t="shared" si="9"/>
        <v>167</v>
      </c>
    </row>
    <row r="174" spans="2:4" x14ac:dyDescent="0.3">
      <c r="B174" s="23">
        <f t="shared" si="11"/>
        <v>45914</v>
      </c>
      <c r="C174" s="23">
        <f t="shared" si="11"/>
        <v>45920</v>
      </c>
      <c r="D174" s="24">
        <f t="shared" si="9"/>
        <v>168</v>
      </c>
    </row>
    <row r="175" spans="2:4" x14ac:dyDescent="0.3">
      <c r="B175" s="23">
        <f t="shared" si="11"/>
        <v>45921</v>
      </c>
      <c r="C175" s="23">
        <f t="shared" si="11"/>
        <v>45927</v>
      </c>
      <c r="D175" s="24">
        <f t="shared" si="9"/>
        <v>169</v>
      </c>
    </row>
    <row r="176" spans="2:4" x14ac:dyDescent="0.3">
      <c r="B176" s="23">
        <f t="shared" si="11"/>
        <v>45928</v>
      </c>
      <c r="C176" s="23">
        <f t="shared" si="11"/>
        <v>45934</v>
      </c>
      <c r="D176" s="24">
        <f t="shared" si="9"/>
        <v>170</v>
      </c>
    </row>
    <row r="177" spans="2:4" x14ac:dyDescent="0.3">
      <c r="B177" s="23">
        <f t="shared" si="11"/>
        <v>45935</v>
      </c>
      <c r="C177" s="23">
        <f t="shared" si="11"/>
        <v>45941</v>
      </c>
      <c r="D177" s="24">
        <f t="shared" si="9"/>
        <v>171</v>
      </c>
    </row>
    <row r="178" spans="2:4" x14ac:dyDescent="0.3">
      <c r="B178" s="23">
        <f t="shared" si="11"/>
        <v>45942</v>
      </c>
      <c r="C178" s="23">
        <f t="shared" si="11"/>
        <v>45948</v>
      </c>
      <c r="D178" s="24">
        <f t="shared" si="9"/>
        <v>172</v>
      </c>
    </row>
    <row r="179" spans="2:4" x14ac:dyDescent="0.3">
      <c r="B179" s="23">
        <f t="shared" si="11"/>
        <v>45949</v>
      </c>
      <c r="C179" s="23">
        <f t="shared" si="11"/>
        <v>45955</v>
      </c>
      <c r="D179" s="24">
        <f t="shared" si="9"/>
        <v>173</v>
      </c>
    </row>
    <row r="180" spans="2:4" x14ac:dyDescent="0.3">
      <c r="B180" s="23">
        <f t="shared" si="11"/>
        <v>45956</v>
      </c>
      <c r="C180" s="23">
        <f t="shared" si="11"/>
        <v>45962</v>
      </c>
      <c r="D180" s="24">
        <f t="shared" si="9"/>
        <v>174</v>
      </c>
    </row>
    <row r="181" spans="2:4" x14ac:dyDescent="0.3">
      <c r="B181" s="23">
        <f t="shared" si="11"/>
        <v>45963</v>
      </c>
      <c r="C181" s="23">
        <f t="shared" si="11"/>
        <v>45969</v>
      </c>
      <c r="D181" s="24">
        <f t="shared" si="9"/>
        <v>175</v>
      </c>
    </row>
    <row r="182" spans="2:4" x14ac:dyDescent="0.3">
      <c r="B182" s="23">
        <f t="shared" si="11"/>
        <v>45970</v>
      </c>
      <c r="C182" s="23">
        <f t="shared" si="11"/>
        <v>45976</v>
      </c>
      <c r="D182" s="24">
        <f t="shared" si="9"/>
        <v>176</v>
      </c>
    </row>
    <row r="183" spans="2:4" x14ac:dyDescent="0.3">
      <c r="B183" s="23">
        <f t="shared" si="11"/>
        <v>45977</v>
      </c>
      <c r="C183" s="23">
        <f t="shared" si="11"/>
        <v>45983</v>
      </c>
      <c r="D183" s="24">
        <f t="shared" si="9"/>
        <v>177</v>
      </c>
    </row>
    <row r="184" spans="2:4" x14ac:dyDescent="0.3">
      <c r="B184" s="23">
        <f t="shared" ref="B184:C196" si="12">B183+7</f>
        <v>45984</v>
      </c>
      <c r="C184" s="23">
        <f t="shared" si="12"/>
        <v>45990</v>
      </c>
      <c r="D184" s="24">
        <f t="shared" si="9"/>
        <v>178</v>
      </c>
    </row>
    <row r="185" spans="2:4" x14ac:dyDescent="0.3">
      <c r="B185" s="23">
        <f t="shared" si="12"/>
        <v>45991</v>
      </c>
      <c r="C185" s="23">
        <f t="shared" si="12"/>
        <v>45997</v>
      </c>
      <c r="D185" s="24">
        <f t="shared" si="9"/>
        <v>179</v>
      </c>
    </row>
    <row r="186" spans="2:4" x14ac:dyDescent="0.3">
      <c r="B186" s="23">
        <f t="shared" si="12"/>
        <v>45998</v>
      </c>
      <c r="C186" s="23">
        <f t="shared" si="12"/>
        <v>46004</v>
      </c>
      <c r="D186" s="24">
        <f t="shared" si="9"/>
        <v>180</v>
      </c>
    </row>
    <row r="187" spans="2:4" x14ac:dyDescent="0.3">
      <c r="B187" s="23">
        <f t="shared" si="12"/>
        <v>46005</v>
      </c>
      <c r="C187" s="23">
        <f t="shared" si="12"/>
        <v>46011</v>
      </c>
      <c r="D187" s="24">
        <f t="shared" si="9"/>
        <v>181</v>
      </c>
    </row>
    <row r="188" spans="2:4" x14ac:dyDescent="0.3">
      <c r="B188" s="23">
        <f t="shared" si="12"/>
        <v>46012</v>
      </c>
      <c r="C188" s="23">
        <f t="shared" si="12"/>
        <v>46018</v>
      </c>
      <c r="D188" s="24">
        <f t="shared" si="9"/>
        <v>182</v>
      </c>
    </row>
    <row r="189" spans="2:4" x14ac:dyDescent="0.3">
      <c r="B189" s="23">
        <f t="shared" si="12"/>
        <v>46019</v>
      </c>
      <c r="C189" s="23">
        <f t="shared" si="12"/>
        <v>46025</v>
      </c>
      <c r="D189" s="24">
        <f t="shared" si="9"/>
        <v>183</v>
      </c>
    </row>
    <row r="190" spans="2:4" x14ac:dyDescent="0.3">
      <c r="B190" s="23">
        <f t="shared" si="12"/>
        <v>46026</v>
      </c>
      <c r="C190" s="23">
        <f t="shared" si="12"/>
        <v>46032</v>
      </c>
      <c r="D190" s="24">
        <f t="shared" si="9"/>
        <v>184</v>
      </c>
    </row>
    <row r="191" spans="2:4" x14ac:dyDescent="0.3">
      <c r="B191" s="23">
        <f t="shared" si="12"/>
        <v>46033</v>
      </c>
      <c r="C191" s="23">
        <f t="shared" si="12"/>
        <v>46039</v>
      </c>
      <c r="D191" s="24">
        <f t="shared" si="9"/>
        <v>185</v>
      </c>
    </row>
    <row r="192" spans="2:4" x14ac:dyDescent="0.3">
      <c r="B192" s="23">
        <f t="shared" si="12"/>
        <v>46040</v>
      </c>
      <c r="C192" s="23">
        <f t="shared" si="12"/>
        <v>46046</v>
      </c>
      <c r="D192" s="24">
        <f t="shared" si="9"/>
        <v>186</v>
      </c>
    </row>
    <row r="193" spans="2:4" x14ac:dyDescent="0.3">
      <c r="B193" s="23">
        <f t="shared" si="12"/>
        <v>46047</v>
      </c>
      <c r="C193" s="23">
        <f t="shared" si="12"/>
        <v>46053</v>
      </c>
      <c r="D193" s="24">
        <f t="shared" si="9"/>
        <v>187</v>
      </c>
    </row>
    <row r="194" spans="2:4" x14ac:dyDescent="0.3">
      <c r="B194" s="23">
        <f t="shared" si="12"/>
        <v>46054</v>
      </c>
      <c r="C194" s="23">
        <f t="shared" si="12"/>
        <v>46060</v>
      </c>
      <c r="D194" s="24">
        <f t="shared" si="9"/>
        <v>188</v>
      </c>
    </row>
    <row r="195" spans="2:4" x14ac:dyDescent="0.3">
      <c r="B195" s="23">
        <f t="shared" si="12"/>
        <v>46061</v>
      </c>
      <c r="C195" s="23">
        <f t="shared" si="12"/>
        <v>46067</v>
      </c>
      <c r="D195" s="24">
        <f t="shared" si="9"/>
        <v>189</v>
      </c>
    </row>
    <row r="196" spans="2:4" x14ac:dyDescent="0.3">
      <c r="B196" s="23">
        <f t="shared" si="12"/>
        <v>46068</v>
      </c>
      <c r="C196" s="23">
        <f t="shared" si="12"/>
        <v>46074</v>
      </c>
      <c r="D196" s="24">
        <f t="shared" si="9"/>
        <v>190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80"/>
    <outlinePr summaryBelow="0"/>
    <pageSetUpPr fitToPage="1"/>
  </sheetPr>
  <dimension ref="B1:BF72"/>
  <sheetViews>
    <sheetView showGridLines="0" tabSelected="1" zoomScale="70" zoomScaleNormal="70" workbookViewId="0">
      <selection activeCell="L24" sqref="L24"/>
    </sheetView>
  </sheetViews>
  <sheetFormatPr defaultColWidth="9.109375" defaultRowHeight="14.4" x14ac:dyDescent="0.3"/>
  <cols>
    <col min="1" max="1" width="1.109375" customWidth="1"/>
    <col min="2" max="2" width="14.88671875" bestFit="1" customWidth="1"/>
    <col min="3" max="3" width="12.33203125" bestFit="1" customWidth="1"/>
    <col min="4" max="4" width="6.44140625" customWidth="1"/>
    <col min="5" max="5" width="1.6640625" customWidth="1"/>
    <col min="6" max="6" width="8.5546875" bestFit="1" customWidth="1"/>
    <col min="7" max="58" width="10.6640625" bestFit="1" customWidth="1"/>
  </cols>
  <sheetData>
    <row r="1" spans="2:58" ht="3.75" customHeight="1" thickBot="1" x14ac:dyDescent="0.35"/>
    <row r="2" spans="2:58" ht="33.75" customHeight="1" x14ac:dyDescent="0.3">
      <c r="B2" s="30" t="s">
        <v>11</v>
      </c>
      <c r="C2" s="31"/>
      <c r="D2" s="31"/>
      <c r="E2" s="31"/>
      <c r="F2" s="31"/>
    </row>
    <row r="3" spans="2:58" ht="21" x14ac:dyDescent="0.3">
      <c r="B3" s="43" t="s">
        <v>12</v>
      </c>
      <c r="C3" s="44"/>
      <c r="D3" s="44"/>
      <c r="E3" s="44"/>
      <c r="F3" s="44"/>
      <c r="G3" s="40">
        <v>45108</v>
      </c>
      <c r="H3" s="41"/>
      <c r="I3" s="41"/>
      <c r="J3" s="41"/>
      <c r="K3" s="42"/>
      <c r="L3" s="40">
        <v>45139</v>
      </c>
      <c r="M3" s="41"/>
      <c r="N3" s="41"/>
      <c r="O3" s="42"/>
      <c r="P3" s="40">
        <v>45170</v>
      </c>
      <c r="Q3" s="41"/>
      <c r="R3" s="41"/>
      <c r="S3" s="41"/>
      <c r="T3" s="42"/>
      <c r="U3" s="40">
        <v>45200</v>
      </c>
      <c r="V3" s="41"/>
      <c r="W3" s="41"/>
      <c r="X3" s="42"/>
      <c r="Y3" s="40">
        <v>45231</v>
      </c>
      <c r="Z3" s="41"/>
      <c r="AA3" s="41"/>
      <c r="AB3" s="42"/>
      <c r="AC3" s="40">
        <v>45261</v>
      </c>
      <c r="AD3" s="41"/>
      <c r="AE3" s="41"/>
      <c r="AF3" s="41"/>
      <c r="AG3" s="42"/>
    </row>
    <row r="4" spans="2:58" s="21" customFormat="1" ht="18" x14ac:dyDescent="0.35">
      <c r="B4" s="15" t="s">
        <v>5</v>
      </c>
      <c r="C4" s="12"/>
      <c r="D4" s="12" t="s">
        <v>13</v>
      </c>
      <c r="E4" s="20" t="s">
        <v>14</v>
      </c>
      <c r="F4" s="12" t="s">
        <v>15</v>
      </c>
      <c r="G4" s="12" t="s">
        <v>16</v>
      </c>
      <c r="H4" s="12" t="s">
        <v>17</v>
      </c>
      <c r="I4" s="12" t="s">
        <v>18</v>
      </c>
      <c r="J4" s="12" t="s">
        <v>19</v>
      </c>
      <c r="K4" s="12" t="s">
        <v>20</v>
      </c>
      <c r="L4" s="12" t="s">
        <v>21</v>
      </c>
      <c r="M4" s="12" t="s">
        <v>22</v>
      </c>
      <c r="N4" s="12" t="s">
        <v>23</v>
      </c>
      <c r="O4" s="12" t="s">
        <v>24</v>
      </c>
      <c r="P4" s="12" t="s">
        <v>25</v>
      </c>
      <c r="Q4" s="12" t="s">
        <v>26</v>
      </c>
      <c r="R4" s="12" t="s">
        <v>27</v>
      </c>
      <c r="S4" s="12" t="s">
        <v>28</v>
      </c>
      <c r="T4" s="12" t="s">
        <v>29</v>
      </c>
      <c r="U4" s="12" t="s">
        <v>30</v>
      </c>
      <c r="V4" s="12" t="s">
        <v>31</v>
      </c>
      <c r="W4" s="12" t="s">
        <v>32</v>
      </c>
      <c r="X4" s="12" t="s">
        <v>33</v>
      </c>
      <c r="Y4" s="12" t="s">
        <v>34</v>
      </c>
      <c r="Z4" s="12" t="s">
        <v>35</v>
      </c>
      <c r="AA4" s="12" t="s">
        <v>36</v>
      </c>
      <c r="AB4" s="12" t="s">
        <v>37</v>
      </c>
      <c r="AC4" s="12" t="s">
        <v>38</v>
      </c>
      <c r="AD4" s="12" t="s">
        <v>39</v>
      </c>
      <c r="AE4" s="12" t="s">
        <v>40</v>
      </c>
      <c r="AF4" s="12" t="s">
        <v>41</v>
      </c>
      <c r="AG4" s="12" t="s">
        <v>42</v>
      </c>
    </row>
    <row r="5" spans="2:58" s="21" customFormat="1" ht="18" x14ac:dyDescent="0.35">
      <c r="B5" s="15" t="s">
        <v>13</v>
      </c>
      <c r="C5" s="12"/>
      <c r="D5" s="19"/>
      <c r="E5" s="19"/>
      <c r="F5" s="16">
        <f>AVERAGE(G5:AG5)</f>
        <v>0.80000000000000027</v>
      </c>
      <c r="G5" s="17">
        <v>0.8</v>
      </c>
      <c r="H5" s="17">
        <v>0.8</v>
      </c>
      <c r="I5" s="17">
        <v>0.8</v>
      </c>
      <c r="J5" s="17">
        <v>0.8</v>
      </c>
      <c r="K5" s="17">
        <v>0.8</v>
      </c>
      <c r="L5" s="17">
        <v>0.8</v>
      </c>
      <c r="M5" s="17">
        <v>0.8</v>
      </c>
      <c r="N5" s="17">
        <v>0.8</v>
      </c>
      <c r="O5" s="17">
        <v>0.8</v>
      </c>
      <c r="P5" s="17">
        <v>0.8</v>
      </c>
      <c r="Q5" s="17">
        <v>0.8</v>
      </c>
      <c r="R5" s="17">
        <v>0.8</v>
      </c>
      <c r="S5" s="17">
        <v>0.8</v>
      </c>
      <c r="T5" s="17">
        <v>0.8</v>
      </c>
      <c r="U5" s="17">
        <v>0.8</v>
      </c>
      <c r="V5" s="17">
        <v>0.8</v>
      </c>
      <c r="W5" s="17">
        <v>0.8</v>
      </c>
      <c r="X5" s="17">
        <v>0.8</v>
      </c>
      <c r="Y5" s="17">
        <v>0.8</v>
      </c>
      <c r="Z5" s="17">
        <v>0.8</v>
      </c>
      <c r="AA5" s="17">
        <v>0.8</v>
      </c>
      <c r="AB5" s="17">
        <v>0.8</v>
      </c>
      <c r="AC5" s="17">
        <v>0.8</v>
      </c>
      <c r="AD5" s="17">
        <v>0.8</v>
      </c>
      <c r="AE5" s="17">
        <v>0.8</v>
      </c>
      <c r="AF5" s="17">
        <v>0.8</v>
      </c>
      <c r="AG5" s="17">
        <v>0.8</v>
      </c>
    </row>
    <row r="6" spans="2:58" s="21" customFormat="1" ht="18" x14ac:dyDescent="0.35">
      <c r="B6" s="15" t="s">
        <v>43</v>
      </c>
      <c r="C6" s="12"/>
      <c r="D6" s="13">
        <f t="shared" ref="D6:D15" si="0">$F$5</f>
        <v>0.80000000000000027</v>
      </c>
      <c r="E6" s="13"/>
      <c r="F6" s="16" t="e">
        <f>AVERAGE(G6:AG6)</f>
        <v>#DIV/0!</v>
      </c>
      <c r="G6" s="18" t="e">
        <f>AVERAGE($G$7:G7)</f>
        <v>#DIV/0!</v>
      </c>
      <c r="H6" s="17" t="e">
        <f>AVERAGE($G$7:H7)</f>
        <v>#DIV/0!</v>
      </c>
      <c r="I6" s="17" t="e">
        <f>AVERAGE($G$7:I7)</f>
        <v>#DIV/0!</v>
      </c>
      <c r="J6" s="17" t="e">
        <f>AVERAGE($G$7:J7)</f>
        <v>#DIV/0!</v>
      </c>
      <c r="K6" s="17" t="e">
        <f>AVERAGE($G$7:K7)</f>
        <v>#DIV/0!</v>
      </c>
      <c r="L6" s="18" t="e">
        <f>AVERAGE($G$7:L7)</f>
        <v>#DIV/0!</v>
      </c>
      <c r="M6" s="17" t="e">
        <f>AVERAGE($G$7:M7)</f>
        <v>#DIV/0!</v>
      </c>
      <c r="N6" s="17" t="e">
        <f>AVERAGE($G$7:N7)</f>
        <v>#DIV/0!</v>
      </c>
      <c r="O6" s="17" t="e">
        <f>AVERAGE($G$7:O7)</f>
        <v>#DIV/0!</v>
      </c>
      <c r="P6" s="17" t="e">
        <f>AVERAGE($G$7:P7)</f>
        <v>#DIV/0!</v>
      </c>
      <c r="Q6" s="18" t="e">
        <f>AVERAGE($G$7:Q7)</f>
        <v>#DIV/0!</v>
      </c>
      <c r="R6" s="17" t="e">
        <f>AVERAGE($G$7:R7)</f>
        <v>#DIV/0!</v>
      </c>
      <c r="S6" s="17" t="e">
        <f>AVERAGE($G$7:S7)</f>
        <v>#DIV/0!</v>
      </c>
      <c r="T6" s="17" t="e">
        <f>AVERAGE($G$7:T7)</f>
        <v>#DIV/0!</v>
      </c>
      <c r="U6" s="17" t="e">
        <f>AVERAGE($G$7:U7)</f>
        <v>#DIV/0!</v>
      </c>
      <c r="V6" s="18" t="e">
        <f>AVERAGE($G$7:V7)</f>
        <v>#DIV/0!</v>
      </c>
      <c r="W6" s="17" t="e">
        <f>AVERAGE($G$7:W7)</f>
        <v>#DIV/0!</v>
      </c>
      <c r="X6" s="17" t="e">
        <f>AVERAGE($G$7:X7)</f>
        <v>#DIV/0!</v>
      </c>
      <c r="Y6" s="17" t="e">
        <f>AVERAGE($G$7:Y7)</f>
        <v>#DIV/0!</v>
      </c>
      <c r="Z6" s="17" t="e">
        <f>AVERAGE($G$7:Z7)</f>
        <v>#DIV/0!</v>
      </c>
      <c r="AA6" s="18" t="e">
        <f>AVERAGE($G$7:AA7)</f>
        <v>#DIV/0!</v>
      </c>
      <c r="AB6" s="17" t="e">
        <f>AVERAGE($G$7:AB7)</f>
        <v>#DIV/0!</v>
      </c>
      <c r="AC6" s="17" t="e">
        <f>AVERAGE($G$7:AC7)</f>
        <v>#DIV/0!</v>
      </c>
      <c r="AD6" s="17" t="e">
        <f>AVERAGE($G$7:AD7)</f>
        <v>#DIV/0!</v>
      </c>
      <c r="AE6" s="17" t="e">
        <f>AVERAGE($G$7:AE7)</f>
        <v>#DIV/0!</v>
      </c>
      <c r="AF6" s="18" t="e">
        <f>AVERAGE($G$7:AF7)</f>
        <v>#DIV/0!</v>
      </c>
      <c r="AG6" s="17" t="e">
        <f>AVERAGE($G$7:AG7)</f>
        <v>#DIV/0!</v>
      </c>
    </row>
    <row r="7" spans="2:58" s="21" customFormat="1" ht="18" customHeight="1" x14ac:dyDescent="0.35">
      <c r="B7" s="38" t="s">
        <v>44</v>
      </c>
      <c r="C7" s="12" t="s">
        <v>45</v>
      </c>
      <c r="D7" s="13">
        <f t="shared" si="0"/>
        <v>0.80000000000000027</v>
      </c>
      <c r="E7" s="34" t="e">
        <f>IF(F7&gt;F$5,F7,0)</f>
        <v>#DIV/0!</v>
      </c>
      <c r="F7" s="16" t="e">
        <f>AVERAGE(G7:AG7)</f>
        <v>#DIV/0!</v>
      </c>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spans="2:58" ht="2.25" customHeight="1" x14ac:dyDescent="0.3">
      <c r="B8" s="39"/>
      <c r="C8" s="12"/>
      <c r="D8" s="13">
        <f t="shared" si="0"/>
        <v>0.80000000000000027</v>
      </c>
      <c r="E8" s="35"/>
      <c r="F8" s="13"/>
      <c r="G8" s="22" t="str">
        <f>IF(G7&gt;G3,#REF!,"")</f>
        <v/>
      </c>
      <c r="H8" s="22" t="str">
        <f>IF(H7&gt;H3,#REF!,"")</f>
        <v/>
      </c>
      <c r="I8" s="22" t="str">
        <f>IF(I7&gt;I3,#REF!,"")</f>
        <v/>
      </c>
      <c r="J8" s="22" t="str">
        <f>IF(J7&gt;J3,#REF!,"")</f>
        <v/>
      </c>
      <c r="K8" s="22" t="str">
        <f>IF(K7&gt;K3,#REF!,"")</f>
        <v/>
      </c>
      <c r="L8" s="22" t="str">
        <f>IF(L7&gt;L3,#REF!,"")</f>
        <v/>
      </c>
      <c r="M8" s="22" t="str">
        <f>IF(M7&gt;M3,#REF!,"")</f>
        <v/>
      </c>
      <c r="N8" s="22" t="str">
        <f>IF(N7&gt;N3,#REF!,"")</f>
        <v/>
      </c>
      <c r="O8" s="22" t="str">
        <f>IF(O7&gt;O3,#REF!,"")</f>
        <v/>
      </c>
      <c r="P8" s="22" t="str">
        <f>IF(P7&gt;P3,#REF!,"")</f>
        <v/>
      </c>
      <c r="Q8" s="22" t="str">
        <f>IF(Q7&gt;Q3,#REF!,"")</f>
        <v/>
      </c>
      <c r="R8" s="22" t="str">
        <f>IF(R7&gt;R3,#REF!,"")</f>
        <v/>
      </c>
      <c r="S8" s="22" t="str">
        <f>IF(S7&gt;S3,#REF!,"")</f>
        <v/>
      </c>
      <c r="T8" s="22" t="str">
        <f>IF(T7&gt;T3,#REF!,"")</f>
        <v/>
      </c>
      <c r="U8" s="22" t="str">
        <f>IF(U7&gt;U3,#REF!,"")</f>
        <v/>
      </c>
      <c r="V8" s="22" t="str">
        <f>IF(V7&gt;V3,#REF!,"")</f>
        <v/>
      </c>
      <c r="W8" s="22" t="str">
        <f>IF(W7&gt;W3,#REF!,"")</f>
        <v/>
      </c>
      <c r="X8" s="22" t="str">
        <f>IF(X7&gt;X3,#REF!,"")</f>
        <v/>
      </c>
      <c r="Y8" s="22" t="str">
        <f>IF(Y7&gt;Y3,#REF!,"")</f>
        <v/>
      </c>
      <c r="Z8" s="22" t="str">
        <f>IF(Z7&gt;Z3,#REF!,"")</f>
        <v/>
      </c>
      <c r="AA8" s="22" t="str">
        <f>IF(AA7&gt;AA3,#REF!,"")</f>
        <v/>
      </c>
      <c r="AB8" s="22" t="str">
        <f>IF(AB7&gt;AB3,#REF!,"")</f>
        <v/>
      </c>
      <c r="AC8" s="22" t="str">
        <f>IF(AC7&gt;AC3,#REF!,"")</f>
        <v/>
      </c>
      <c r="AD8" s="22" t="str">
        <f>IF(AD7&gt;AD3,#REF!,"")</f>
        <v/>
      </c>
      <c r="AE8" s="22" t="str">
        <f>IF(AE7&gt;AE3,#REF!,"")</f>
        <v/>
      </c>
      <c r="AF8" s="22" t="str">
        <f>IF(AF7&gt;AF3,#REF!,"")</f>
        <v/>
      </c>
      <c r="AG8" s="22" t="str">
        <f>IF(AG7&gt;AG3,#REF!,"")</f>
        <v/>
      </c>
    </row>
    <row r="9" spans="2:58" s="21" customFormat="1" ht="21.75" customHeight="1" x14ac:dyDescent="0.35">
      <c r="B9" s="38" t="s">
        <v>46</v>
      </c>
      <c r="C9" s="12" t="s">
        <v>45</v>
      </c>
      <c r="D9" s="13">
        <f t="shared" si="0"/>
        <v>0.80000000000000027</v>
      </c>
      <c r="E9" s="45" t="e">
        <f>IF(F9&gt;F$5,F9,0)</f>
        <v>#DIV/0!</v>
      </c>
      <c r="F9" s="32" t="e">
        <v>#DIV/0!</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spans="2:58" ht="1.5" customHeight="1" x14ac:dyDescent="0.3">
      <c r="B10" s="39"/>
      <c r="C10" s="20"/>
      <c r="D10" s="22">
        <f t="shared" si="0"/>
        <v>0.80000000000000027</v>
      </c>
      <c r="E10" s="46"/>
      <c r="F10" s="33"/>
      <c r="G10" s="22" t="str">
        <f>IF(G9&gt;G5,#REF!,"")</f>
        <v/>
      </c>
      <c r="H10" s="22" t="str">
        <f>IF(H9&gt;H5,#REF!,"")</f>
        <v/>
      </c>
      <c r="I10" s="22" t="str">
        <f>IF(I9&gt;I5,#REF!,"")</f>
        <v/>
      </c>
      <c r="J10" s="22" t="str">
        <f>IF(J9&gt;J5,#REF!,"")</f>
        <v/>
      </c>
      <c r="K10" s="22" t="str">
        <f>IF(K9&gt;K5,#REF!,"")</f>
        <v/>
      </c>
      <c r="L10" s="22" t="str">
        <f>IF(L9&gt;L5,#REF!,"")</f>
        <v/>
      </c>
      <c r="M10" s="22" t="str">
        <f>IF(M9&gt;M5,#REF!,"")</f>
        <v/>
      </c>
      <c r="N10" s="22" t="str">
        <f>IF(N9&gt;N5,#REF!,"")</f>
        <v/>
      </c>
      <c r="O10" s="22" t="str">
        <f>IF(O9&gt;O5,#REF!,"")</f>
        <v/>
      </c>
      <c r="P10" s="22" t="str">
        <f>IF(P9&gt;P5,#REF!,"")</f>
        <v/>
      </c>
      <c r="Q10" s="22" t="str">
        <f>IF(Q9&gt;Q5,#REF!,"")</f>
        <v/>
      </c>
      <c r="R10" s="22" t="str">
        <f>IF(R9&gt;R5,#REF!,"")</f>
        <v/>
      </c>
      <c r="S10" s="22" t="str">
        <f>IF(S9&gt;S5,#REF!,"")</f>
        <v/>
      </c>
      <c r="T10" s="22" t="str">
        <f>IF(T9&gt;T5,#REF!,"")</f>
        <v/>
      </c>
      <c r="U10" s="22" t="str">
        <f>IF(U9&gt;U5,#REF!,"")</f>
        <v/>
      </c>
      <c r="V10" s="22" t="str">
        <f>IF(V9&gt;V5,#REF!,"")</f>
        <v/>
      </c>
      <c r="W10" s="22" t="str">
        <f>IF(W9&gt;W5,#REF!,"")</f>
        <v/>
      </c>
      <c r="X10" s="22" t="str">
        <f>IF(X9&gt;X5,#REF!,"")</f>
        <v/>
      </c>
      <c r="Y10" s="22" t="str">
        <f>IF(Y9&gt;Y5,#REF!,"")</f>
        <v/>
      </c>
      <c r="Z10" s="22" t="str">
        <f>IF(Z9&gt;Z5,#REF!,"")</f>
        <v/>
      </c>
      <c r="AA10" s="22" t="str">
        <f>IF(AA9&gt;AA5,#REF!,"")</f>
        <v/>
      </c>
      <c r="AB10" s="22" t="str">
        <f>IF(AB9&gt;AB5,#REF!,"")</f>
        <v/>
      </c>
      <c r="AC10" s="22" t="str">
        <f>IF(AC9&gt;AC5,#REF!,"")</f>
        <v/>
      </c>
      <c r="AD10" s="22" t="str">
        <f>IF(AD9&gt;AD5,#REF!,"")</f>
        <v/>
      </c>
      <c r="AE10" s="22" t="str">
        <f>IF(AE9&gt;AE5,#REF!,"")</f>
        <v/>
      </c>
      <c r="AF10" s="22" t="str">
        <f>IF(AF9&gt;AF5,#REF!,"")</f>
        <v/>
      </c>
      <c r="AG10" s="22" t="str">
        <f>IF(AG9&gt;AG5,#REF!,"")</f>
        <v/>
      </c>
    </row>
    <row r="11" spans="2:58" ht="0.75" customHeight="1" x14ac:dyDescent="0.3">
      <c r="B11" s="27"/>
      <c r="C11" s="20" t="s">
        <v>14</v>
      </c>
      <c r="D11" s="22">
        <f t="shared" si="0"/>
        <v>0.80000000000000027</v>
      </c>
      <c r="E11" s="29"/>
      <c r="F11" s="28"/>
      <c r="G11" s="22" t="e">
        <f>IF(#REF!&gt;G7,#REF!,"")</f>
        <v>#REF!</v>
      </c>
      <c r="H11" s="22" t="e">
        <f>IF(#REF!&gt;H7,#REF!,"")</f>
        <v>#REF!</v>
      </c>
      <c r="I11" s="22" t="e">
        <f>IF(#REF!&gt;I7,#REF!,"")</f>
        <v>#REF!</v>
      </c>
      <c r="J11" s="22" t="e">
        <f>IF(#REF!&gt;J7,#REF!,"")</f>
        <v>#REF!</v>
      </c>
      <c r="K11" s="22" t="e">
        <f>IF(#REF!&gt;K7,#REF!,"")</f>
        <v>#REF!</v>
      </c>
      <c r="L11" s="22" t="e">
        <f>IF(#REF!&gt;L7,#REF!,"")</f>
        <v>#REF!</v>
      </c>
      <c r="M11" s="22" t="e">
        <f>IF(#REF!&gt;M7,#REF!,"")</f>
        <v>#REF!</v>
      </c>
      <c r="N11" s="22" t="e">
        <f>IF(#REF!&gt;N7,#REF!,"")</f>
        <v>#REF!</v>
      </c>
      <c r="O11" s="22" t="e">
        <f>IF(#REF!&gt;O7,#REF!,"")</f>
        <v>#REF!</v>
      </c>
      <c r="P11" s="22" t="e">
        <f>IF(#REF!&gt;P7,#REF!,"")</f>
        <v>#REF!</v>
      </c>
      <c r="Q11" s="22" t="e">
        <f>IF(#REF!&gt;Q7,#REF!,"")</f>
        <v>#REF!</v>
      </c>
      <c r="R11" s="22" t="e">
        <f>IF(#REF!&gt;R7,#REF!,"")</f>
        <v>#REF!</v>
      </c>
      <c r="S11" s="22" t="e">
        <f>IF(#REF!&gt;S7,#REF!,"")</f>
        <v>#REF!</v>
      </c>
      <c r="T11" s="22" t="e">
        <f>IF(#REF!&gt;T7,#REF!,"")</f>
        <v>#REF!</v>
      </c>
      <c r="U11" s="22" t="e">
        <f>IF(#REF!&gt;U7,#REF!,"")</f>
        <v>#REF!</v>
      </c>
      <c r="V11" s="22" t="e">
        <f>IF(#REF!&gt;V7,#REF!,"")</f>
        <v>#REF!</v>
      </c>
      <c r="W11" s="22" t="e">
        <f>IF(#REF!&gt;W7,#REF!,"")</f>
        <v>#REF!</v>
      </c>
      <c r="X11" s="22" t="e">
        <f>IF(#REF!&gt;X7,#REF!,"")</f>
        <v>#REF!</v>
      </c>
      <c r="Y11" s="22" t="e">
        <f>IF(#REF!&gt;Y7,#REF!,"")</f>
        <v>#REF!</v>
      </c>
      <c r="Z11" s="22" t="e">
        <f>IF(#REF!&gt;Z7,#REF!,"")</f>
        <v>#REF!</v>
      </c>
      <c r="AA11" s="22" t="e">
        <f>IF(#REF!&gt;AA7,#REF!,"")</f>
        <v>#REF!</v>
      </c>
      <c r="AB11" s="22" t="e">
        <f>IF(#REF!&gt;AB7,#REF!,"")</f>
        <v>#REF!</v>
      </c>
      <c r="AC11" s="22" t="e">
        <f>IF(#REF!&gt;AC7,#REF!,"")</f>
        <v>#REF!</v>
      </c>
      <c r="AD11" s="22" t="e">
        <f>IF(#REF!&gt;AD7,#REF!,"")</f>
        <v>#REF!</v>
      </c>
      <c r="AE11" s="22" t="e">
        <f>IF(#REF!&gt;AE7,#REF!,"")</f>
        <v>#REF!</v>
      </c>
      <c r="AF11" s="22" t="e">
        <f>IF(#REF!&gt;AF7,#REF!,"")</f>
        <v>#REF!</v>
      </c>
      <c r="AG11" s="22" t="e">
        <f>IF(#REF!&gt;AG7,#REF!,"")</f>
        <v>#REF!</v>
      </c>
    </row>
    <row r="12" spans="2:58" s="21" customFormat="1" ht="22.5" customHeight="1" x14ac:dyDescent="0.35">
      <c r="B12" s="36" t="s">
        <v>47</v>
      </c>
      <c r="C12" s="12" t="s">
        <v>45</v>
      </c>
      <c r="D12" s="13">
        <f t="shared" si="0"/>
        <v>0.80000000000000027</v>
      </c>
      <c r="E12" s="34" t="e">
        <f>IF(F12&gt;F$5,F12,0)</f>
        <v>#DIV/0!</v>
      </c>
      <c r="F12" s="32" t="e">
        <v>#DIV/0!</v>
      </c>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2:58" ht="2.25" customHeight="1" x14ac:dyDescent="0.3">
      <c r="B13" s="37"/>
      <c r="C13" s="20"/>
      <c r="D13" s="22">
        <f t="shared" si="0"/>
        <v>0.80000000000000027</v>
      </c>
      <c r="E13" s="35"/>
      <c r="F13" s="33"/>
      <c r="G13" s="22" t="str">
        <f>IF(G12&gt;G9,#REF!,"")</f>
        <v/>
      </c>
      <c r="H13" s="22" t="str">
        <f>IF(H12&gt;H9,#REF!,"")</f>
        <v/>
      </c>
      <c r="I13" s="22" t="str">
        <f>IF(I12&gt;I9,#REF!,"")</f>
        <v/>
      </c>
      <c r="J13" s="22" t="str">
        <f>IF(J12&gt;J9,#REF!,"")</f>
        <v/>
      </c>
      <c r="K13" s="22" t="str">
        <f>IF(K12&gt;K9,#REF!,"")</f>
        <v/>
      </c>
      <c r="L13" s="22" t="str">
        <f>IF(L12&gt;L9,#REF!,"")</f>
        <v/>
      </c>
      <c r="M13" s="22" t="str">
        <f>IF(M12&gt;M9,#REF!,"")</f>
        <v/>
      </c>
      <c r="N13" s="22" t="str">
        <f>IF(N12&gt;N9,#REF!,"")</f>
        <v/>
      </c>
      <c r="O13" s="22" t="str">
        <f>IF(O12&gt;O9,#REF!,"")</f>
        <v/>
      </c>
      <c r="P13" s="22" t="str">
        <f>IF(P12&gt;P9,#REF!,"")</f>
        <v/>
      </c>
      <c r="Q13" s="22" t="str">
        <f>IF(Q12&gt;Q9,#REF!,"")</f>
        <v/>
      </c>
      <c r="R13" s="22" t="str">
        <f>IF(R12&gt;R9,#REF!,"")</f>
        <v/>
      </c>
      <c r="S13" s="22" t="str">
        <f>IF(S12&gt;S9,#REF!,"")</f>
        <v/>
      </c>
      <c r="T13" s="22" t="str">
        <f>IF(T12&gt;T9,#REF!,"")</f>
        <v/>
      </c>
      <c r="U13" s="22" t="str">
        <f>IF(U12&gt;U9,#REF!,"")</f>
        <v/>
      </c>
      <c r="V13" s="22" t="str">
        <f>IF(V12&gt;V9,#REF!,"")</f>
        <v/>
      </c>
      <c r="W13" s="22" t="str">
        <f>IF(W12&gt;W9,#REF!,"")</f>
        <v/>
      </c>
      <c r="X13" s="22" t="str">
        <f>IF(X12&gt;X9,#REF!,"")</f>
        <v/>
      </c>
      <c r="Y13" s="22" t="str">
        <f>IF(Y12&gt;Y9,#REF!,"")</f>
        <v/>
      </c>
      <c r="Z13" s="22" t="str">
        <f>IF(Z12&gt;Z9,#REF!,"")</f>
        <v/>
      </c>
      <c r="AA13" s="22" t="str">
        <f>IF(AA12&gt;AA9,#REF!,"")</f>
        <v/>
      </c>
      <c r="AB13" s="22" t="str">
        <f>IF(AB12&gt;AB9,#REF!,"")</f>
        <v/>
      </c>
      <c r="AC13" s="22" t="str">
        <f>IF(AC12&gt;AC9,#REF!,"")</f>
        <v/>
      </c>
      <c r="AD13" s="22" t="str">
        <f>IF(AD12&gt;AD9,#REF!,"")</f>
        <v/>
      </c>
      <c r="AE13" s="22" t="str">
        <f>IF(AE12&gt;AE9,#REF!,"")</f>
        <v/>
      </c>
      <c r="AF13" s="22" t="str">
        <f>IF(AF12&gt;AF9,#REF!,"")</f>
        <v/>
      </c>
      <c r="AG13" s="22" t="str">
        <f>IF(AG12&gt;AG9,#REF!,"")</f>
        <v/>
      </c>
    </row>
    <row r="14" spans="2:58" s="21" customFormat="1" ht="18" x14ac:dyDescent="0.35">
      <c r="B14" s="38" t="s">
        <v>48</v>
      </c>
      <c r="C14" s="12" t="s">
        <v>45</v>
      </c>
      <c r="D14" s="13">
        <f t="shared" si="0"/>
        <v>0.80000000000000027</v>
      </c>
      <c r="E14" s="34" t="e">
        <f>IF(F14&gt;F$5,F14,0)</f>
        <v>#DIV/0!</v>
      </c>
      <c r="F14" s="32" t="e">
        <v>#DIV/0!</v>
      </c>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2:58" ht="3" customHeight="1" x14ac:dyDescent="0.3">
      <c r="B15" s="39"/>
      <c r="C15" s="20" t="s">
        <v>14</v>
      </c>
      <c r="D15" s="22">
        <f t="shared" si="0"/>
        <v>0.80000000000000027</v>
      </c>
      <c r="E15" s="35"/>
      <c r="F15" s="33"/>
      <c r="G15" s="22" t="e">
        <f>IF(#REF!&gt;#REF!,#REF!,"")</f>
        <v>#REF!</v>
      </c>
      <c r="H15" s="22" t="e">
        <f>IF(#REF!&gt;#REF!,#REF!,"")</f>
        <v>#REF!</v>
      </c>
      <c r="I15" s="22" t="e">
        <f>IF(#REF!&gt;#REF!,#REF!,"")</f>
        <v>#REF!</v>
      </c>
      <c r="J15" s="22" t="e">
        <f>IF(#REF!&gt;#REF!,#REF!,"")</f>
        <v>#REF!</v>
      </c>
      <c r="K15" s="22" t="e">
        <f>IF(#REF!&gt;#REF!,#REF!,"")</f>
        <v>#REF!</v>
      </c>
      <c r="L15" s="22" t="e">
        <f>IF(#REF!&gt;#REF!,#REF!,"")</f>
        <v>#REF!</v>
      </c>
      <c r="M15" s="22" t="e">
        <f>IF(#REF!&gt;#REF!,#REF!,"")</f>
        <v>#REF!</v>
      </c>
      <c r="N15" s="22" t="e">
        <f>IF(#REF!&gt;#REF!,#REF!,"")</f>
        <v>#REF!</v>
      </c>
      <c r="O15" s="22" t="e">
        <f>IF(#REF!&gt;#REF!,#REF!,"")</f>
        <v>#REF!</v>
      </c>
      <c r="P15" s="22" t="e">
        <f>IF(#REF!&gt;#REF!,#REF!,"")</f>
        <v>#REF!</v>
      </c>
      <c r="Q15" s="22" t="e">
        <f>IF(#REF!&gt;#REF!,#REF!,"")</f>
        <v>#REF!</v>
      </c>
      <c r="R15" s="22" t="e">
        <f>IF(#REF!&gt;#REF!,#REF!,"")</f>
        <v>#REF!</v>
      </c>
      <c r="S15" s="22" t="e">
        <f>IF(#REF!&gt;#REF!,#REF!,"")</f>
        <v>#REF!</v>
      </c>
      <c r="T15" s="22" t="e">
        <f>IF(#REF!&gt;#REF!,#REF!,"")</f>
        <v>#REF!</v>
      </c>
      <c r="U15" s="22" t="e">
        <f>IF(#REF!&gt;#REF!,#REF!,"")</f>
        <v>#REF!</v>
      </c>
      <c r="V15" s="22" t="e">
        <f>IF(#REF!&gt;#REF!,#REF!,"")</f>
        <v>#REF!</v>
      </c>
      <c r="W15" s="22" t="e">
        <f>IF(#REF!&gt;#REF!,#REF!,"")</f>
        <v>#REF!</v>
      </c>
      <c r="X15" s="22" t="e">
        <f>IF(#REF!&gt;#REF!,#REF!,"")</f>
        <v>#REF!</v>
      </c>
      <c r="Y15" s="22" t="e">
        <f>IF(#REF!&gt;#REF!,#REF!,"")</f>
        <v>#REF!</v>
      </c>
      <c r="Z15" s="22" t="e">
        <f>IF(#REF!&gt;#REF!,#REF!,"")</f>
        <v>#REF!</v>
      </c>
      <c r="AA15" s="22" t="e">
        <f>IF(#REF!&gt;#REF!,#REF!,"")</f>
        <v>#REF!</v>
      </c>
      <c r="AB15" s="22" t="e">
        <f>IF(#REF!&gt;#REF!,#REF!,"")</f>
        <v>#REF!</v>
      </c>
      <c r="AC15" s="22" t="e">
        <f>IF(#REF!&gt;#REF!,#REF!,"")</f>
        <v>#REF!</v>
      </c>
      <c r="AD15" s="22" t="e">
        <f>IF(#REF!&gt;#REF!,#REF!,"")</f>
        <v>#REF!</v>
      </c>
      <c r="AE15" s="22" t="e">
        <f>IF(#REF!&gt;#REF!,#REF!,"")</f>
        <v>#REF!</v>
      </c>
      <c r="AF15" s="22" t="e">
        <f>IF(G14&gt;#REF!,#REF!,"")</f>
        <v>#REF!</v>
      </c>
      <c r="AG15" s="22" t="e">
        <f>IF(H14&gt;#REF!,#REF!,"")</f>
        <v>#REF!</v>
      </c>
      <c r="AH15" s="22" t="e">
        <f>IF(I14&gt;#REF!,#REF!,"")</f>
        <v>#REF!</v>
      </c>
      <c r="AI15" s="22" t="e">
        <f>IF(J14&gt;#REF!,#REF!,"")</f>
        <v>#REF!</v>
      </c>
      <c r="AJ15" s="22" t="e">
        <f>IF(K14&gt;#REF!,#REF!,"")</f>
        <v>#REF!</v>
      </c>
      <c r="AK15" s="22" t="e">
        <f>IF(L14&gt;#REF!,#REF!,"")</f>
        <v>#REF!</v>
      </c>
      <c r="AL15" s="22" t="e">
        <f>IF(M14&gt;#REF!,#REF!,"")</f>
        <v>#REF!</v>
      </c>
      <c r="AM15" s="22" t="e">
        <f>IF(N14&gt;#REF!,#REF!,"")</f>
        <v>#REF!</v>
      </c>
      <c r="AN15" s="22" t="e">
        <f>IF(O14&gt;#REF!,#REF!,"")</f>
        <v>#REF!</v>
      </c>
      <c r="AO15" s="22" t="e">
        <f>IF(P14&gt;#REF!,#REF!,"")</f>
        <v>#REF!</v>
      </c>
      <c r="AP15" s="22" t="e">
        <f>IF(Q14&gt;#REF!,#REF!,"")</f>
        <v>#REF!</v>
      </c>
      <c r="AQ15" s="22" t="e">
        <f>IF(R14&gt;#REF!,#REF!,"")</f>
        <v>#REF!</v>
      </c>
      <c r="AR15" s="22" t="e">
        <f>IF(S14&gt;#REF!,#REF!,"")</f>
        <v>#REF!</v>
      </c>
      <c r="AS15" s="22" t="e">
        <f>IF(T14&gt;#REF!,#REF!,"")</f>
        <v>#REF!</v>
      </c>
      <c r="AT15" s="22" t="e">
        <f>IF(U14&gt;#REF!,#REF!,"")</f>
        <v>#REF!</v>
      </c>
      <c r="AU15" s="22" t="e">
        <f>IF(V14&gt;#REF!,#REF!,"")</f>
        <v>#REF!</v>
      </c>
      <c r="AV15" s="22" t="e">
        <f>IF(W14&gt;#REF!,#REF!,"")</f>
        <v>#REF!</v>
      </c>
      <c r="AW15" s="22" t="e">
        <f>IF(X14&gt;#REF!,#REF!,"")</f>
        <v>#REF!</v>
      </c>
      <c r="AX15" s="22" t="e">
        <f>IF(Y14&gt;#REF!,#REF!,"")</f>
        <v>#REF!</v>
      </c>
      <c r="AY15" s="22" t="e">
        <f>IF(Z14&gt;#REF!,#REF!,"")</f>
        <v>#REF!</v>
      </c>
      <c r="AZ15" s="22" t="e">
        <f>IF(AA14&gt;#REF!,#REF!,"")</f>
        <v>#REF!</v>
      </c>
      <c r="BA15" s="22" t="e">
        <f>IF(AB14&gt;#REF!,#REF!,"")</f>
        <v>#REF!</v>
      </c>
      <c r="BB15" s="22" t="e">
        <f>IF(AC14&gt;#REF!,#REF!,"")</f>
        <v>#REF!</v>
      </c>
      <c r="BC15" s="22" t="e">
        <f>IF(AD14&gt;#REF!,#REF!,"")</f>
        <v>#REF!</v>
      </c>
      <c r="BD15" s="22" t="e">
        <f>IF(AE14&gt;#REF!,#REF!,"")</f>
        <v>#REF!</v>
      </c>
      <c r="BE15" s="22" t="e">
        <f>IF(AF14&gt;#REF!,#REF!,"")</f>
        <v>#REF!</v>
      </c>
      <c r="BF15" s="22" t="e">
        <f>IF(AG14&gt;#REF!,#REF!,"")</f>
        <v>#REF!</v>
      </c>
    </row>
    <row r="16" spans="2:58" ht="15" customHeight="1" x14ac:dyDescent="0.3"/>
    <row r="17" spans="6:6" x14ac:dyDescent="0.3">
      <c r="F17" s="26" t="s">
        <v>49</v>
      </c>
    </row>
    <row r="18" spans="6:6" ht="15" customHeight="1" x14ac:dyDescent="0.3"/>
    <row r="22" spans="6:6" ht="15" customHeight="1" x14ac:dyDescent="0.3"/>
    <row r="24" spans="6:6" ht="15" customHeight="1" x14ac:dyDescent="0.3"/>
    <row r="26" spans="6:6" ht="15" customHeight="1" x14ac:dyDescent="0.3"/>
    <row r="28" spans="6:6" ht="15" customHeight="1" x14ac:dyDescent="0.3"/>
    <row r="30" spans="6:6" ht="15" customHeight="1" x14ac:dyDescent="0.3"/>
    <row r="32" spans="6:6" ht="15" customHeight="1" x14ac:dyDescent="0.3"/>
    <row r="35" ht="15" customHeight="1" x14ac:dyDescent="0.3"/>
    <row r="37" ht="15" customHeight="1" x14ac:dyDescent="0.3"/>
    <row r="39" ht="15" customHeight="1" x14ac:dyDescent="0.3"/>
    <row r="41" ht="15" customHeight="1" x14ac:dyDescent="0.3"/>
    <row r="43" ht="15" customHeight="1" x14ac:dyDescent="0.3"/>
    <row r="45" ht="15" customHeight="1" x14ac:dyDescent="0.3"/>
    <row r="55" ht="15" customHeight="1" x14ac:dyDescent="0.3"/>
    <row r="57" ht="15" customHeight="1" x14ac:dyDescent="0.3"/>
    <row r="64" ht="15" customHeight="1" x14ac:dyDescent="0.3"/>
    <row r="66" ht="15" customHeight="1" x14ac:dyDescent="0.3"/>
    <row r="70" ht="15" customHeight="1" x14ac:dyDescent="0.3"/>
    <row r="72" ht="15" customHeight="1" x14ac:dyDescent="0.3"/>
  </sheetData>
  <mergeCells count="18">
    <mergeCell ref="U3:X3"/>
    <mergeCell ref="Y3:AB3"/>
    <mergeCell ref="AC3:AG3"/>
    <mergeCell ref="G3:K3"/>
    <mergeCell ref="L3:O3"/>
    <mergeCell ref="F14:F15"/>
    <mergeCell ref="E14:E15"/>
    <mergeCell ref="B12:B13"/>
    <mergeCell ref="B14:B15"/>
    <mergeCell ref="P3:T3"/>
    <mergeCell ref="B3:F3"/>
    <mergeCell ref="E7:E8"/>
    <mergeCell ref="B7:B8"/>
    <mergeCell ref="F12:F13"/>
    <mergeCell ref="E12:E13"/>
    <mergeCell ref="B9:B10"/>
    <mergeCell ref="E9:E10"/>
    <mergeCell ref="F9:F10"/>
  </mergeCells>
  <phoneticPr fontId="14" type="noConversion"/>
  <conditionalFormatting sqref="G7:AG7 G9:AG9 G12:AG12 G14:AG14">
    <cfRule type="cellIs" dxfId="1" priority="1" operator="between">
      <formula>0</formula>
      <formula>G$5</formula>
    </cfRule>
    <cfRule type="cellIs" dxfId="0" priority="2" operator="greaterThan">
      <formula>G$5</formula>
    </cfRule>
  </conditionalFormatting>
  <pageMargins left="0.51181102362204722" right="0.51181102362204722" top="0.78740157480314965" bottom="0.78740157480314965" header="0.31496062992125984" footer="0.31496062992125984"/>
  <pageSetup paperSize="9" scale="7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4">
    <tabColor rgb="FF00B0F0"/>
  </sheetPr>
  <dimension ref="A1:D33"/>
  <sheetViews>
    <sheetView view="pageBreakPreview" zoomScaleNormal="100" zoomScaleSheetLayoutView="100" workbookViewId="0">
      <selection activeCell="D6" sqref="D6"/>
    </sheetView>
  </sheetViews>
  <sheetFormatPr defaultRowHeight="14.4" x14ac:dyDescent="0.3"/>
  <cols>
    <col min="1" max="1" width="3.5546875" customWidth="1"/>
    <col min="2" max="2" width="30.109375" bestFit="1" customWidth="1"/>
    <col min="3" max="3" width="3.5546875" customWidth="1"/>
    <col min="4" max="4" width="48.88671875" bestFit="1" customWidth="1"/>
  </cols>
  <sheetData>
    <row r="1" spans="1:4" x14ac:dyDescent="0.3">
      <c r="A1" s="47" t="s">
        <v>50</v>
      </c>
      <c r="B1" s="48"/>
      <c r="C1" s="47" t="s">
        <v>51</v>
      </c>
      <c r="D1" s="48"/>
    </row>
    <row r="2" spans="1:4" x14ac:dyDescent="0.3">
      <c r="A2" s="49">
        <v>1</v>
      </c>
      <c r="B2" s="49" t="s">
        <v>52</v>
      </c>
      <c r="C2" s="6" t="s">
        <v>7</v>
      </c>
      <c r="D2" s="7" t="s">
        <v>53</v>
      </c>
    </row>
    <row r="3" spans="1:4" x14ac:dyDescent="0.3">
      <c r="A3" s="50"/>
      <c r="B3" s="50"/>
      <c r="C3" s="6" t="s">
        <v>8</v>
      </c>
      <c r="D3" s="7" t="s">
        <v>54</v>
      </c>
    </row>
    <row r="4" spans="1:4" x14ac:dyDescent="0.3">
      <c r="A4" s="50"/>
      <c r="B4" s="50"/>
      <c r="C4" s="6" t="s">
        <v>9</v>
      </c>
      <c r="D4" s="7" t="s">
        <v>55</v>
      </c>
    </row>
    <row r="5" spans="1:4" x14ac:dyDescent="0.3">
      <c r="A5" s="51"/>
      <c r="B5" s="51"/>
      <c r="C5" s="6" t="s">
        <v>10</v>
      </c>
      <c r="D5" s="7" t="s">
        <v>56</v>
      </c>
    </row>
    <row r="6" spans="1:4" x14ac:dyDescent="0.3">
      <c r="A6" s="49">
        <v>2</v>
      </c>
      <c r="B6" s="49" t="s">
        <v>57</v>
      </c>
      <c r="C6" s="6" t="s">
        <v>58</v>
      </c>
      <c r="D6" s="7" t="s">
        <v>59</v>
      </c>
    </row>
    <row r="7" spans="1:4" x14ac:dyDescent="0.3">
      <c r="A7" s="50"/>
      <c r="B7" s="50"/>
      <c r="C7" s="6" t="s">
        <v>60</v>
      </c>
      <c r="D7" s="7" t="s">
        <v>61</v>
      </c>
    </row>
    <row r="8" spans="1:4" x14ac:dyDescent="0.3">
      <c r="A8" s="50"/>
      <c r="B8" s="50"/>
      <c r="C8" s="6" t="s">
        <v>62</v>
      </c>
      <c r="D8" s="7" t="s">
        <v>63</v>
      </c>
    </row>
    <row r="9" spans="1:4" x14ac:dyDescent="0.3">
      <c r="A9" s="50"/>
      <c r="B9" s="50"/>
      <c r="C9" s="6" t="s">
        <v>64</v>
      </c>
      <c r="D9" s="7" t="s">
        <v>65</v>
      </c>
    </row>
    <row r="10" spans="1:4" x14ac:dyDescent="0.3">
      <c r="A10" s="50"/>
      <c r="B10" s="50"/>
      <c r="C10" s="6" t="s">
        <v>66</v>
      </c>
      <c r="D10" s="7" t="s">
        <v>67</v>
      </c>
    </row>
    <row r="11" spans="1:4" x14ac:dyDescent="0.3">
      <c r="A11" s="50"/>
      <c r="B11" s="50"/>
      <c r="C11" s="6" t="s">
        <v>68</v>
      </c>
      <c r="D11" s="7" t="s">
        <v>69</v>
      </c>
    </row>
    <row r="12" spans="1:4" x14ac:dyDescent="0.3">
      <c r="A12" s="51"/>
      <c r="B12" s="51"/>
      <c r="C12" s="6" t="s">
        <v>70</v>
      </c>
      <c r="D12" s="7" t="s">
        <v>71</v>
      </c>
    </row>
    <row r="13" spans="1:4" x14ac:dyDescent="0.3">
      <c r="A13" s="8">
        <v>3</v>
      </c>
      <c r="B13" s="8" t="s">
        <v>72</v>
      </c>
      <c r="C13" s="6" t="s">
        <v>73</v>
      </c>
      <c r="D13" s="7" t="s">
        <v>74</v>
      </c>
    </row>
    <row r="14" spans="1:4" x14ac:dyDescent="0.3">
      <c r="A14" s="49">
        <v>4</v>
      </c>
      <c r="B14" s="49" t="s">
        <v>75</v>
      </c>
      <c r="C14" s="6" t="s">
        <v>76</v>
      </c>
      <c r="D14" s="7" t="s">
        <v>77</v>
      </c>
    </row>
    <row r="15" spans="1:4" x14ac:dyDescent="0.3">
      <c r="A15" s="50"/>
      <c r="B15" s="50"/>
      <c r="C15" s="6" t="s">
        <v>78</v>
      </c>
      <c r="D15" s="7" t="s">
        <v>79</v>
      </c>
    </row>
    <row r="16" spans="1:4" x14ac:dyDescent="0.3">
      <c r="A16" s="51"/>
      <c r="B16" s="51"/>
      <c r="C16" s="6" t="s">
        <v>80</v>
      </c>
      <c r="D16" s="7" t="s">
        <v>81</v>
      </c>
    </row>
    <row r="17" spans="1:4" x14ac:dyDescent="0.3">
      <c r="A17" s="49">
        <v>5</v>
      </c>
      <c r="B17" s="49" t="s">
        <v>82</v>
      </c>
      <c r="C17" s="6" t="s">
        <v>83</v>
      </c>
      <c r="D17" s="7" t="s">
        <v>84</v>
      </c>
    </row>
    <row r="18" spans="1:4" x14ac:dyDescent="0.3">
      <c r="A18" s="50"/>
      <c r="B18" s="50"/>
      <c r="C18" s="6" t="s">
        <v>85</v>
      </c>
      <c r="D18" s="7" t="s">
        <v>86</v>
      </c>
    </row>
    <row r="19" spans="1:4" x14ac:dyDescent="0.3">
      <c r="A19" s="50"/>
      <c r="B19" s="50"/>
      <c r="C19" s="6" t="s">
        <v>87</v>
      </c>
      <c r="D19" s="7" t="s">
        <v>88</v>
      </c>
    </row>
    <row r="20" spans="1:4" x14ac:dyDescent="0.3">
      <c r="A20" s="50"/>
      <c r="B20" s="50"/>
      <c r="C20" s="6" t="s">
        <v>89</v>
      </c>
      <c r="D20" s="7" t="s">
        <v>90</v>
      </c>
    </row>
    <row r="21" spans="1:4" x14ac:dyDescent="0.3">
      <c r="A21" s="50"/>
      <c r="B21" s="50"/>
      <c r="C21" s="6" t="s">
        <v>91</v>
      </c>
      <c r="D21" s="7" t="s">
        <v>92</v>
      </c>
    </row>
    <row r="22" spans="1:4" x14ac:dyDescent="0.3">
      <c r="A22" s="51"/>
      <c r="B22" s="51"/>
      <c r="C22" s="6" t="s">
        <v>93</v>
      </c>
      <c r="D22" s="7" t="s">
        <v>94</v>
      </c>
    </row>
    <row r="23" spans="1:4" x14ac:dyDescent="0.3">
      <c r="A23" s="49">
        <v>6</v>
      </c>
      <c r="B23" s="49" t="s">
        <v>95</v>
      </c>
      <c r="C23" s="6" t="s">
        <v>96</v>
      </c>
      <c r="D23" s="7" t="s">
        <v>97</v>
      </c>
    </row>
    <row r="24" spans="1:4" x14ac:dyDescent="0.3">
      <c r="A24" s="50"/>
      <c r="B24" s="50"/>
      <c r="C24" s="6" t="s">
        <v>98</v>
      </c>
      <c r="D24" s="7" t="s">
        <v>99</v>
      </c>
    </row>
    <row r="25" spans="1:4" x14ac:dyDescent="0.3">
      <c r="A25" s="50"/>
      <c r="B25" s="50"/>
      <c r="C25" s="6" t="s">
        <v>100</v>
      </c>
      <c r="D25" s="7" t="s">
        <v>101</v>
      </c>
    </row>
    <row r="26" spans="1:4" x14ac:dyDescent="0.3">
      <c r="A26" s="50"/>
      <c r="B26" s="50"/>
      <c r="C26" s="6" t="s">
        <v>102</v>
      </c>
      <c r="D26" s="7" t="s">
        <v>103</v>
      </c>
    </row>
    <row r="27" spans="1:4" x14ac:dyDescent="0.3">
      <c r="A27" s="51"/>
      <c r="B27" s="51"/>
      <c r="C27" s="6" t="s">
        <v>104</v>
      </c>
      <c r="D27" s="7" t="s">
        <v>105</v>
      </c>
    </row>
    <row r="28" spans="1:4" x14ac:dyDescent="0.3">
      <c r="A28" s="49">
        <v>7</v>
      </c>
      <c r="B28" s="49" t="s">
        <v>106</v>
      </c>
      <c r="C28" s="6" t="s">
        <v>107</v>
      </c>
      <c r="D28" s="7" t="s">
        <v>108</v>
      </c>
    </row>
    <row r="29" spans="1:4" x14ac:dyDescent="0.3">
      <c r="A29" s="50"/>
      <c r="B29" s="50"/>
      <c r="C29" s="6" t="s">
        <v>109</v>
      </c>
      <c r="D29" s="7" t="s">
        <v>110</v>
      </c>
    </row>
    <row r="30" spans="1:4" x14ac:dyDescent="0.3">
      <c r="A30" s="50"/>
      <c r="B30" s="50"/>
      <c r="C30" s="6" t="s">
        <v>111</v>
      </c>
      <c r="D30" s="7" t="s">
        <v>112</v>
      </c>
    </row>
    <row r="31" spans="1:4" x14ac:dyDescent="0.3">
      <c r="A31" s="51"/>
      <c r="B31" s="51"/>
      <c r="C31" s="6" t="s">
        <v>113</v>
      </c>
      <c r="D31" s="7" t="s">
        <v>114</v>
      </c>
    </row>
    <row r="32" spans="1:4" x14ac:dyDescent="0.3">
      <c r="A32" s="6">
        <v>8</v>
      </c>
      <c r="B32" s="6" t="s">
        <v>115</v>
      </c>
      <c r="C32" s="6" t="s">
        <v>116</v>
      </c>
      <c r="D32" s="7" t="s">
        <v>117</v>
      </c>
    </row>
    <row r="33" spans="1:4" x14ac:dyDescent="0.3">
      <c r="A33" s="6">
        <v>9</v>
      </c>
      <c r="B33" s="6" t="s">
        <v>118</v>
      </c>
      <c r="C33" s="6" t="s">
        <v>119</v>
      </c>
      <c r="D33" s="7" t="s">
        <v>120</v>
      </c>
    </row>
  </sheetData>
  <mergeCells count="14">
    <mergeCell ref="A28:A31"/>
    <mergeCell ref="B28:B31"/>
    <mergeCell ref="A14:A16"/>
    <mergeCell ref="B14:B16"/>
    <mergeCell ref="A17:A22"/>
    <mergeCell ref="B17:B22"/>
    <mergeCell ref="A23:A27"/>
    <mergeCell ref="B23:B27"/>
    <mergeCell ref="A1:B1"/>
    <mergeCell ref="C1:D1"/>
    <mergeCell ref="A2:A5"/>
    <mergeCell ref="B2:B5"/>
    <mergeCell ref="A6:A12"/>
    <mergeCell ref="B6:B12"/>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123a933-3812-4ad3-9417-8c4d0dd503be" xsi:nil="true"/>
    <lcf76f155ced4ddcb4097134ff3c332f xmlns="5dd524c1-0eb5-414e-a171-4f14de224716">
      <Terms xmlns="http://schemas.microsoft.com/office/infopath/2007/PartnerControls"/>
    </lcf76f155ced4ddcb4097134ff3c332f>
    <Classifica_x00e7__x00e3_oInforma_x00e7__x00e3_o xmlns="5dd524c1-0eb5-414e-a171-4f14de224716">Pública</Classifica_x00e7__x00e3_oInforma_x00e7__x00e3_o>
    <TipodoDocumento xmlns="5dd524c1-0eb5-414e-a171-4f14de224716" xsi:nil="true"/>
    <_Flow_SignoffStatus xmlns="5dd524c1-0eb5-414e-a171-4f14de224716" xsi:nil="true"/>
    <DatadoArquivo xmlns="5dd524c1-0eb5-414e-a171-4f14de224716" xsi:nil="true"/>
    <Revis_x00e3_o xmlns="5dd524c1-0eb5-414e-a171-4f14de224716" xsi:nil="true"/>
    <C_x00f3_digodoDocumento xmlns="5dd524c1-0eb5-414e-a171-4f14de224716" xsi:nil="true"/>
    <Respons_x00e1_vel xmlns="5dd524c1-0eb5-414e-a171-4f14de224716">
      <UserInfo>
        <DisplayName/>
        <AccountId xsi:nil="true"/>
        <AccountType/>
      </UserInfo>
    </Respons_x00e1_ve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2F9139CC659B141A7606B32C8890F98" ma:contentTypeVersion="23" ma:contentTypeDescription="Crie um novo documento." ma:contentTypeScope="" ma:versionID="5b27ece08230f316674d072a08916430">
  <xsd:schema xmlns:xsd="http://www.w3.org/2001/XMLSchema" xmlns:xs="http://www.w3.org/2001/XMLSchema" xmlns:p="http://schemas.microsoft.com/office/2006/metadata/properties" xmlns:ns2="5dd524c1-0eb5-414e-a171-4f14de224716" xmlns:ns3="e123a933-3812-4ad3-9417-8c4d0dd503be" targetNamespace="http://schemas.microsoft.com/office/2006/metadata/properties" ma:root="true" ma:fieldsID="9c22cd12d9abc24206098ce84802d2c2" ns2:_="" ns3:_="">
    <xsd:import namespace="5dd524c1-0eb5-414e-a171-4f14de224716"/>
    <xsd:import namespace="e123a933-3812-4ad3-9417-8c4d0dd503be"/>
    <xsd:element name="properties">
      <xsd:complexType>
        <xsd:sequence>
          <xsd:element name="documentManagement">
            <xsd:complexType>
              <xsd:all>
                <xsd:element ref="ns2:TipodoDocumento" minOccurs="0"/>
                <xsd:element ref="ns2:Classifica_x00e7__x00e3_oInforma_x00e7__x00e3_o"/>
                <xsd:element ref="ns2:_Flow_SignoffStatus" minOccurs="0"/>
                <xsd:element ref="ns2:MediaServiceMetadata" minOccurs="0"/>
                <xsd:element ref="ns2:MediaServiceFastMetadata" minOccurs="0"/>
                <xsd:element ref="ns3:SharedWithUsers" minOccurs="0"/>
                <xsd:element ref="ns3:SharedWithDetails"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DatadoArquivo" minOccurs="0"/>
                <xsd:element ref="ns2:Respons_x00e1_vel" minOccurs="0"/>
                <xsd:element ref="ns2:Revis_x00e3_o" minOccurs="0"/>
                <xsd:element ref="ns2:C_x00f3_digodoDocum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d524c1-0eb5-414e-a171-4f14de224716" elementFormDefault="qualified">
    <xsd:import namespace="http://schemas.microsoft.com/office/2006/documentManagement/types"/>
    <xsd:import namespace="http://schemas.microsoft.com/office/infopath/2007/PartnerControls"/>
    <xsd:element name="TipodoDocumento" ma:index="2" nillable="true" ma:displayName="Tipo do Documento" ma:format="Dropdown" ma:internalName="TipodoDocumento" ma:readOnly="false">
      <xsd:simpleType>
        <xsd:restriction base="dms:Text">
          <xsd:maxLength value="255"/>
        </xsd:restriction>
      </xsd:simpleType>
    </xsd:element>
    <xsd:element name="Classifica_x00e7__x00e3_oInforma_x00e7__x00e3_o" ma:index="3" ma:displayName="Classificação Informação" ma:description="Confidencial&#10;É o nível mais alto de segurança dentro deste padrão. As informações confidenciais são aquelas que, se divulgadas interna ou externamente, têm potencial para trazer grandes prejuízos financeiros ou à imagem da empresa. São protegidas, por exemplo, por criptografia.&#10;&#10;Restrita&#10;É o nível médio de confidencialidade. São informações estratégicas que devem estar disponíveis apenas para grupos restritos de colaboradores. Podem ser protegidas, por exemplo, restringindo o acesso à uma pasta ou diretório da rede.&#10;&#10;Uso interno&#10;Representa baixo nível de confidencialidade. Informações de uso interno são aquelas que não podem ser divulgadas para pessoas de fora da organização, mas que, caso isso aconteça, não causarão grandes prejuízos. A preocupação nesse nível está relacionada principalmente à integridade da informação.&#10;&#10;Pública&#10;São dados que não necessitam de proteção sofisticada contra vazamentos, pois podem ser de conhecimento público. No entanto, sempre cabe lembrar dos outros dois pilares: a disponibilidade e a integridade." ma:format="Dropdown" ma:internalName="Classifica_x00e7__x00e3_oInforma_x00e7__x00e3_o" ma:readOnly="false">
      <xsd:simpleType>
        <xsd:restriction base="dms:Choice">
          <xsd:enumeration value="Confidencial"/>
          <xsd:enumeration value="Restrita"/>
          <xsd:enumeration value="Interna"/>
          <xsd:enumeration value="Pública"/>
        </xsd:restriction>
      </xsd:simpleType>
    </xsd:element>
    <xsd:element name="_Flow_SignoffStatus" ma:index="5" nillable="true" ma:displayName="Status de liberação" ma:internalName="Status_x0020_de_x0020_libera_x00e7__x00e3_o" ma:readOnly="false">
      <xsd:simpleType>
        <xsd:restriction base="dms:Text"/>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hidden="true" ma:internalName="MediaServiceAutoTags"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e201f610-fd22-46d6-9aa9-19573a56381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atadoArquivo" ma:index="26" nillable="true" ma:displayName="Data da Solicitação" ma:format="DateTime" ma:internalName="DatadoArquivo">
      <xsd:simpleType>
        <xsd:restriction base="dms:DateTime"/>
      </xsd:simpleType>
    </xsd:element>
    <xsd:element name="Respons_x00e1_vel" ma:index="27" nillable="true" ma:displayName="Responsável" ma:format="Dropdown" ma:list="UserInfo" ma:SharePointGroup="0" ma:internalName="Respons_x00e1_vel">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s_x00e3_o" ma:index="28" nillable="true" ma:displayName="Revisão" ma:format="Dropdown" ma:internalName="Revis_x00e3_o" ma:percentage="FALSE">
      <xsd:simpleType>
        <xsd:restriction base="dms:Number"/>
      </xsd:simpleType>
    </xsd:element>
    <xsd:element name="C_x00f3_digodoDocumento" ma:index="29" nillable="true" ma:displayName="Código do Documento " ma:format="Dropdown" ma:internalName="C_x00f3_digodoDocumen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23a933-3812-4ad3-9417-8c4d0dd503be" elementFormDefault="qualified">
    <xsd:import namespace="http://schemas.microsoft.com/office/2006/documentManagement/types"/>
    <xsd:import namespace="http://schemas.microsoft.com/office/infopath/2007/PartnerControls"/>
    <xsd:element name="SharedWithUsers" ma:index="10" nillable="true" ma:displayName="Compartilhado com"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hidden="true" ma:internalName="SharedWithDetails" ma:readOnly="true">
      <xsd:simpleType>
        <xsd:restriction base="dms:Note"/>
      </xsd:simpleType>
    </xsd:element>
    <xsd:element name="TaxCatchAll" ma:index="22" nillable="true" ma:displayName="Taxonomy Catch All Column" ma:hidden="true" ma:list="{b1879013-cd61-4011-9555-3d91a8267b52}" ma:internalName="TaxCatchAll" ma:readOnly="false" ma:showField="CatchAllData" ma:web="e123a933-3812-4ad3-9417-8c4d0dd503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83B883-041C-47B1-BA4C-F4ACB8205974}">
  <ds:schemaRefs>
    <ds:schemaRef ds:uri="http://schemas.microsoft.com/office/2006/metadata/properties"/>
    <ds:schemaRef ds:uri="http://schemas.microsoft.com/office/infopath/2007/PartnerControls"/>
    <ds:schemaRef ds:uri="e123a933-3812-4ad3-9417-8c4d0dd503be"/>
    <ds:schemaRef ds:uri="5dd524c1-0eb5-414e-a171-4f14de224716"/>
  </ds:schemaRefs>
</ds:datastoreItem>
</file>

<file path=customXml/itemProps2.xml><?xml version="1.0" encoding="utf-8"?>
<ds:datastoreItem xmlns:ds="http://schemas.openxmlformats.org/officeDocument/2006/customXml" ds:itemID="{F61CEBE5-CA89-489B-99E0-EA457F3624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d524c1-0eb5-414e-a171-4f14de224716"/>
    <ds:schemaRef ds:uri="e123a933-3812-4ad3-9417-8c4d0dd50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BC8F53-76FF-40A0-9A0D-F00D55C9CD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Calendário</vt:lpstr>
      <vt:lpstr>PPC CONSOLIDADO</vt:lpstr>
      <vt:lpstr>Cód. Áreas</vt:lpstr>
      <vt:lpstr>'PPC CONSOLIDADO'!Area_de_impressao</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Willis</dc:creator>
  <cp:keywords/>
  <dc:description/>
  <cp:lastModifiedBy>Michel Zabalia</cp:lastModifiedBy>
  <cp:revision/>
  <dcterms:created xsi:type="dcterms:W3CDTF">2008-11-17T18:17:45Z</dcterms:created>
  <dcterms:modified xsi:type="dcterms:W3CDTF">2026-08-11T13:02:46Z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2021-06-01T21:22:15Z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77e58c3c-db7c-4442-813c-1b1b7cde696a</vt:lpwstr>
  </property>
  <property fmtid="{D5CDD505-2E9C-101B-9397-08002B2CF9AE}" pid="8" name="MSIP_Label_ea60d57e-af5b-4752-ac57-3e4f28ca11dc_ContentBits">
    <vt:lpwstr>0</vt:lpwstr>
  </property>
  <property fmtid="{D5CDD505-2E9C-101B-9397-08002B2CF9AE}" pid="9" name="ContentTypeId">
    <vt:lpwstr>0x01010012F9139CC659B141A7606B32C8890F98</vt:lpwstr>
  </property>
  <property fmtid="{D5CDD505-2E9C-101B-9397-08002B2CF9AE}" pid="10" name="MediaServiceImageTags">
    <vt:lpwstr/>
  </property>
</Properties>
</file>